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losa" sheetId="1" state="visible" r:id="rId1"/>
    <sheet name="Test-keyslar" sheetId="2" state="visible" r:id="rId2"/>
    <sheet name="Kamchiliklar" sheetId="3" state="visible" r:id="rId3"/>
    <sheet name="Manbalar" sheetId="4" state="visible" r:id="rId4"/>
  </sheets>
  <definedNames>
    <definedName name="_xlnm._FilterDatabase" localSheetId="1" hidden="1">'Test-keyslar'!$A$1:$Q$167</definedName>
    <definedName name="_xlnm.Print_Titles" localSheetId="1">'Test-keyslar'!$1:$1</definedName>
    <definedName name="_xlnm._FilterDatabase" localSheetId="2" hidden="1">'Kamchiliklar'!$A$1:$G$6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E7D32"/>
      <sz val="16"/>
    </font>
    <font>
      <name val="Arial"/>
      <i val="1"/>
      <color rgb="00616161"/>
      <sz val="10"/>
    </font>
    <font>
      <name val="Arial"/>
      <i val="1"/>
      <color rgb="009E9E9E"/>
      <sz val="9"/>
    </font>
    <font>
      <name val="Arial"/>
      <b val="1"/>
      <color rgb="002E7D32"/>
      <sz val="12"/>
    </font>
    <font>
      <name val="Arial"/>
      <i val="1"/>
      <color rgb="00616161"/>
      <sz val="9"/>
    </font>
    <font>
      <name val="Arial"/>
      <color rgb="001565C0"/>
      <sz val="10"/>
      <u val="single"/>
    </font>
  </fonts>
  <fills count="12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E0E0E0"/>
        <bgColor rgb="00E0E0E0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4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2">
    <dxf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</font>
      <fill>
        <patternFill patternType="solid">
          <fgColor rgb="00EF9A9A"/>
          <bgColor rgb="00EF9A9A"/>
        </patternFill>
      </fill>
    </dxf>
    <dxf>
      <font>
        <name val="Arial"/>
        <b val="1"/>
        <color rgb="00B71C1C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E65100"/>
      </font>
      <fill>
        <patternFill patternType="solid">
          <fgColor rgb="00FFE0B2"/>
          <bgColor rgb="00FFE0B2"/>
        </patternFill>
      </fill>
    </dxf>
    <dxf>
      <font>
        <name val="Arial"/>
        <b val="1"/>
        <color rgb="00424242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F57F17"/>
      </font>
      <fill>
        <patternFill patternType="solid">
          <fgColor rgb="00FFF9C4"/>
          <bgColor rgb="00FFF9C4"/>
        </patternFill>
      </fill>
    </dxf>
    <dxf>
      <font>
        <name val="Arial"/>
        <b val="1"/>
        <color rgb="001B5E20"/>
      </font>
      <fill>
        <patternFill patternType="solid">
          <fgColor rgb="00A5D6A7"/>
          <bgColor rgb="00A5D6A7"/>
        </patternFill>
      </fill>
    </dxf>
    <dxf>
      <font>
        <name val="Arial"/>
        <b val="1"/>
        <color rgb="00F57F17"/>
      </font>
      <fill>
        <patternFill patternType="solid">
          <fgColor rgb="00FFF59D"/>
          <bgColor rgb="00FFF59D"/>
        </patternFill>
      </fill>
    </dxf>
    <dxf>
      <font>
        <name val="Arial"/>
        <color rgb="00616161"/>
      </font>
      <fill>
        <patternFill patternType="solid">
          <fgColor rgb="00EEEEEE"/>
          <bgColor rgb="00EEEEEE"/>
        </patternFill>
      </fill>
    </dxf>
    <dxf>
      <font>
        <name val="Arial"/>
        <b val="1"/>
        <color rgb="00E65100"/>
      </font>
      <fill>
        <patternFill patternType="solid">
          <fgColor rgb="00FFCC80"/>
          <bgColor rgb="00FFCC80"/>
        </patternFill>
      </fill>
    </dxf>
    <dxf>
      <font>
        <name val="Arial"/>
        <b val="1"/>
        <color rgb="000D47A1"/>
      </font>
      <fill>
        <patternFill patternType="solid">
          <fgColor rgb="00E3F2FD"/>
          <bgColor rgb="00E3F2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rositdepartment.atlassian.net/wiki/spaces/~ArosMarket/folder/354385922" TargetMode="External" Id="rId1" /><Relationship Type="http://schemas.openxmlformats.org/officeDocument/2006/relationships/hyperlink" Target="https://arositdepartment.atlassian.net/wiki/spaces/~ArosMarket/pages/333774849" TargetMode="External" Id="rId2" /><Relationship Type="http://schemas.openxmlformats.org/officeDocument/2006/relationships/hyperlink" Target="https://arositdepartment.atlassian.net/wiki/spaces/~ArosMarket/pages/304021505" TargetMode="External" Id="rId3" /><Relationship Type="http://schemas.openxmlformats.org/officeDocument/2006/relationships/hyperlink" Target="https://arositdepartment.atlassian.net/wiki/spaces/~ArosMarket/pages/305135617" TargetMode="External" Id="rId4" /><Relationship Type="http://schemas.openxmlformats.org/officeDocument/2006/relationships/hyperlink" Target="https://arositdepartment.atlassian.net/wiki/spaces/~ArosMarket/pages/324861953" TargetMode="External" Id="rId5" /><Relationship Type="http://schemas.openxmlformats.org/officeDocument/2006/relationships/hyperlink" Target="https://arositdepartment.atlassian.net/wiki/spaces/~ArosMarket/pages/376209409" TargetMode="External" Id="rId6" /><Relationship Type="http://schemas.openxmlformats.org/officeDocument/2006/relationships/hyperlink" Target="https://arositdepartment.atlassian.net/wiki/spaces/~ArosMarket/pages/154632194" TargetMode="External" Id="rId7" /><Relationship Type="http://schemas.openxmlformats.org/officeDocument/2006/relationships/hyperlink" Target="https://arositdepartment.atlassian.net/wiki/spaces/~ArosMarket/pages/377651202" TargetMode="External" Id="rId8" /><Relationship Type="http://schemas.openxmlformats.org/officeDocument/2006/relationships/hyperlink" Target="https://arositdepartment.atlassian.net/wiki/spaces/~ArosMarket/pages/292356097" TargetMode="External" Id="rId9" /><Relationship Type="http://schemas.openxmlformats.org/officeDocument/2006/relationships/hyperlink" Target="https://arositdepartment.atlassian.net/wiki/spaces/~ArosMarket/pages/307167233" TargetMode="External" Id="rId10" /><Relationship Type="http://schemas.openxmlformats.org/officeDocument/2006/relationships/hyperlink" Target="https://arositdepartment.atlassian.net/wiki/spaces/~ArosMarket/pages/298024961" TargetMode="External" Id="rId11" /><Relationship Type="http://schemas.openxmlformats.org/officeDocument/2006/relationships/hyperlink" Target="https://arositdepartment.atlassian.net/wiki/spaces/~ArosMarket/pages/233537537" TargetMode="External" Id="rId12" /><Relationship Type="http://schemas.openxmlformats.org/officeDocument/2006/relationships/hyperlink" Target="https://arositdepartment.atlassian.net/wiki/spaces/~ArosMarket/pages/351404033" TargetMode="External" Id="rId13" /><Relationship Type="http://schemas.openxmlformats.org/officeDocument/2006/relationships/hyperlink" Target="https://arositdepartment.atlassian.net/wiki/spaces/~ArosMarket/pages/305004559" TargetMode="External" Id="rId14" /><Relationship Type="http://schemas.openxmlformats.org/officeDocument/2006/relationships/hyperlink" Target="https://arositdepartment.atlassian.net/wiki/spaces/~ArosMarket/pages/292421633" TargetMode="External" Id="rId15" /><Relationship Type="http://schemas.openxmlformats.org/officeDocument/2006/relationships/hyperlink" Target="https://arositdepartment.atlassian.net/wiki/spaces/~ArosMarket/pages/246349828" TargetMode="External" Id="rId16" /><Relationship Type="http://schemas.openxmlformats.org/officeDocument/2006/relationships/hyperlink" Target="https://arositdepartment.atlassian.net/wiki/spaces/~ArosMarket/pages/243597313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12" customWidth="1" min="6" max="6"/>
    <col width="11" customWidth="1" min="7" max="7"/>
    <col width="9" customWidth="1" min="8" max="8"/>
    <col width="17" customWidth="1" min="9" max="9"/>
    <col width="13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>
      <c r="A1" s="1" t="inlineStr">
        <is>
          <t>Aros — admin panel uchun regression test-keyslar</t>
        </is>
      </c>
    </row>
    <row r="2">
      <c r="A2" s="2" t="inlineStr">
        <is>
          <t>Admin panel, UI. Confluence dagi PRD va staging-admin bilan solishtirilgan (28.10.2026). Vitrina — alohida fayl.</t>
        </is>
      </c>
    </row>
    <row r="3"/>
    <row r="4">
      <c r="A4" s="3" t="inlineStr">
        <is>
          <t>Muhit</t>
        </is>
      </c>
      <c r="B4" s="4" t="inlineStr">
        <is>
          <t>https://staging-admin.aros.uz (til: O'zbekcha)</t>
        </is>
      </c>
    </row>
    <row r="5">
      <c r="A5" s="3" t="inlineStr">
        <is>
          <t>Rol</t>
        </is>
      </c>
      <c r="B5" s="4" t="inlineStr">
        <is>
          <t>Administrator (to'liq huquqlar)</t>
        </is>
      </c>
    </row>
    <row r="6">
      <c r="A6" s="3" t="inlineStr">
        <is>
          <t>Test akkaunti</t>
        </is>
      </c>
      <c r="B6" s="4" t="inlineStr">
        <is>
          <t>Login: +998998987882   Parol: &lt;пароль в .env&gt; в .env&gt;</t>
        </is>
      </c>
    </row>
    <row r="7">
      <c r="A7" s="3" t="inlineStr">
        <is>
          <t>Hujjatlar</t>
        </is>
      </c>
      <c r="B7" s="4" t="inlineStr">
        <is>
          <t>Confluence → admin panel mantiqi papkasi; havolalar «Manbalar» varag'ida</t>
        </is>
      </c>
    </row>
    <row r="8">
      <c r="A8" s="3" t="inlineStr">
        <is>
          <t>Avtotestlar</t>
        </is>
      </c>
      <c r="B8" s="4" t="inlineStr">
        <is>
          <t>aros-ui repozitoriyasi: Java 21 + Playwright + JUnit5 + Allure</t>
        </is>
      </c>
    </row>
    <row r="9">
      <c r="A9" s="3" t="inlineStr">
        <is>
          <t>Reliz / versiya</t>
        </is>
      </c>
      <c r="B9" s="5" t="inlineStr"/>
      <c r="C9" s="36" t="n"/>
      <c r="D9" s="36" t="n"/>
      <c r="E9" s="36" t="n"/>
      <c r="F9" s="36" t="n"/>
      <c r="G9" s="36" t="n"/>
      <c r="H9" s="37" t="n"/>
      <c r="J9" s="7" t="inlineStr">
        <is>
          <t>← sariq maydonlar har bir progondan oldin to'ldiriladi</t>
        </is>
      </c>
    </row>
    <row r="10">
      <c r="A10" s="3" t="inlineStr">
        <is>
          <t>Progon sanasi</t>
        </is>
      </c>
      <c r="B10" s="5" t="inlineStr"/>
      <c r="C10" s="36" t="n"/>
      <c r="D10" s="36" t="n"/>
      <c r="E10" s="36" t="n"/>
      <c r="F10" s="36" t="n"/>
      <c r="G10" s="36" t="n"/>
      <c r="H10" s="37" t="n"/>
    </row>
    <row r="11">
      <c r="A11" s="3" t="inlineStr">
        <is>
          <t>Testchi</t>
        </is>
      </c>
      <c r="B11" s="5" t="inlineStr"/>
      <c r="C11" s="36" t="n"/>
      <c r="D11" s="36" t="n"/>
      <c r="E11" s="36" t="n"/>
      <c r="F11" s="36" t="n"/>
      <c r="G11" s="36" t="n"/>
      <c r="H11" s="37" t="n"/>
    </row>
    <row r="12">
      <c r="A12" s="8" t="inlineStr">
        <is>
          <t>Modullar bo'yicha qamrov</t>
        </is>
      </c>
    </row>
    <row r="13" ht="32" customHeight="1">
      <c r="A13" s="9" t="inlineStr">
        <is>
          <t>Modul</t>
        </is>
      </c>
      <c r="B13" s="9" t="inlineStr">
        <is>
          <t>Jami</t>
        </is>
      </c>
      <c r="C13" s="9" t="inlineStr">
        <is>
          <t>P1</t>
        </is>
      </c>
      <c r="D13" s="9" t="inlineStr">
        <is>
          <t>P2</t>
        </is>
      </c>
      <c r="E13" s="9" t="inlineStr">
        <is>
          <t>P3</t>
        </is>
      </c>
      <c r="F13" s="9" t="inlineStr">
        <is>
          <t>Avto mumkin: Ha</t>
        </is>
      </c>
      <c r="G13" s="9" t="inlineStr">
        <is>
          <t>Qisman</t>
        </is>
      </c>
      <c r="H13" s="9" t="inlineStr">
        <is>
          <t>Yo'q</t>
        </is>
      </c>
      <c r="I13" s="9" t="inlineStr">
        <is>
          <t>Avtomatlashtirilgan</t>
        </is>
      </c>
      <c r="J13" s="9" t="inlineStr">
        <is>
          <t>Avtotestlar qamrovi %</t>
        </is>
      </c>
      <c r="K13" s="9" t="inlineStr">
        <is>
          <t>Passed</t>
        </is>
      </c>
      <c r="L13" s="9" t="inlineStr">
        <is>
          <t>Failed</t>
        </is>
      </c>
      <c r="M13" s="9" t="inlineStr">
        <is>
          <t>Blocked</t>
        </is>
      </c>
      <c r="N13" s="9" t="inlineStr">
        <is>
          <t>Skipped</t>
        </is>
      </c>
      <c r="O13" s="9" t="inlineStr">
        <is>
          <t>Bajarilmagan</t>
        </is>
      </c>
    </row>
    <row r="14">
      <c r="A14" s="10" t="inlineStr">
        <is>
          <t>AUTH — Avtorizatsiya va ruxsat</t>
        </is>
      </c>
      <c r="B14" s="11">
        <f>COUNTIF('Test-keyslar'!$B$2:$B$167,"Avtorizatsiya va ruxsat")</f>
        <v/>
      </c>
      <c r="C14" s="11">
        <f>COUNTIFS('Test-keyslar'!$B$2:$B$167,"Avtorizatsiya va ruxsat",'Test-keyslar'!$E$2:$E$167,"P1")</f>
        <v/>
      </c>
      <c r="D14" s="11">
        <f>COUNTIFS('Test-keyslar'!$B$2:$B$167,"Avtorizatsiya va ruxsat",'Test-keyslar'!$E$2:$E$167,"P2")</f>
        <v/>
      </c>
      <c r="E14" s="11">
        <f>COUNTIFS('Test-keyslar'!$B$2:$B$167,"Avtorizatsiya va ruxsat",'Test-keyslar'!$E$2:$E$167,"P3")</f>
        <v/>
      </c>
      <c r="F14" s="11">
        <f>COUNTIFS('Test-keyslar'!$B$2:$B$167,"Avtorizatsiya va ruxsat",'Test-keyslar'!$L$2:$L$167,"Ha")</f>
        <v/>
      </c>
      <c r="G14" s="11">
        <f>COUNTIFS('Test-keyslar'!$B$2:$B$167,"Avtorizatsiya va ruxsat",'Test-keyslar'!$L$2:$L$167,"Qisman")</f>
        <v/>
      </c>
      <c r="H14" s="11">
        <f>COUNTIFS('Test-keyslar'!$B$2:$B$167,"Avtorizatsiya va ruxsat",'Test-keyslar'!$L$2:$L$167,"Yo'q")</f>
        <v/>
      </c>
      <c r="I14" s="11">
        <f>COUNTIFS('Test-keyslar'!$B$2:$B$167,"Avtorizatsiya va ruxsat",'Test-keyslar'!$N$2:$N$167,"Avtomatlashtirilgan")</f>
        <v/>
      </c>
      <c r="J14" s="12">
        <f>IF(B14=0,0,I14/B14)</f>
        <v/>
      </c>
      <c r="K14" s="11">
        <f>COUNTIFS('Test-keyslar'!$B$2:$B$167,"Avtorizatsiya va ruxsat",'Test-keyslar'!$P$2:$P$167,"Passed")</f>
        <v/>
      </c>
      <c r="L14" s="11">
        <f>COUNTIFS('Test-keyslar'!$B$2:$B$167,"Avtorizatsiya va ruxsat",'Test-keyslar'!$P$2:$P$167,"Failed")</f>
        <v/>
      </c>
      <c r="M14" s="11">
        <f>COUNTIFS('Test-keyslar'!$B$2:$B$167,"Avtorizatsiya va ruxsat",'Test-keyslar'!$P$2:$P$167,"Blocked")</f>
        <v/>
      </c>
      <c r="N14" s="11">
        <f>COUNTIFS('Test-keyslar'!$B$2:$B$167,"Avtorizatsiya va ruxsat",'Test-keyslar'!$P$2:$P$167,"Skipped")</f>
        <v/>
      </c>
      <c r="O14" s="11">
        <f>COUNTIFS('Test-keyslar'!$B$2:$B$167,"Avtorizatsiya va ruxsat",'Test-keyslar'!$P$2:$P$167,"Bajarilmagan")</f>
        <v/>
      </c>
    </row>
    <row r="15">
      <c r="A15" s="13" t="inlineStr">
        <is>
          <t>DASH — Bosh sahifa (Dashboard)</t>
        </is>
      </c>
      <c r="B15" s="14">
        <f>COUNTIF('Test-keyslar'!$B$2:$B$167,"Bosh sahifa (Dashboard)")</f>
        <v/>
      </c>
      <c r="C15" s="14">
        <f>COUNTIFS('Test-keyslar'!$B$2:$B$167,"Bosh sahifa (Dashboard)",'Test-keyslar'!$E$2:$E$167,"P1")</f>
        <v/>
      </c>
      <c r="D15" s="14">
        <f>COUNTIFS('Test-keyslar'!$B$2:$B$167,"Bosh sahifa (Dashboard)",'Test-keyslar'!$E$2:$E$167,"P2")</f>
        <v/>
      </c>
      <c r="E15" s="14">
        <f>COUNTIFS('Test-keyslar'!$B$2:$B$167,"Bosh sahifa (Dashboard)",'Test-keyslar'!$E$2:$E$167,"P3")</f>
        <v/>
      </c>
      <c r="F15" s="14">
        <f>COUNTIFS('Test-keyslar'!$B$2:$B$167,"Bosh sahifa (Dashboard)",'Test-keyslar'!$L$2:$L$167,"Ha")</f>
        <v/>
      </c>
      <c r="G15" s="14">
        <f>COUNTIFS('Test-keyslar'!$B$2:$B$167,"Bosh sahifa (Dashboard)",'Test-keyslar'!$L$2:$L$167,"Qisman")</f>
        <v/>
      </c>
      <c r="H15" s="14">
        <f>COUNTIFS('Test-keyslar'!$B$2:$B$167,"Bosh sahifa (Dashboard)",'Test-keyslar'!$L$2:$L$167,"Yo'q")</f>
        <v/>
      </c>
      <c r="I15" s="14">
        <f>COUNTIFS('Test-keyslar'!$B$2:$B$167,"Bosh sahifa (Dashboard)",'Test-keyslar'!$N$2:$N$167,"Avtomatlashtirilgan")</f>
        <v/>
      </c>
      <c r="J15" s="15">
        <f>IF(B15=0,0,I15/B15)</f>
        <v/>
      </c>
      <c r="K15" s="14">
        <f>COUNTIFS('Test-keyslar'!$B$2:$B$167,"Bosh sahifa (Dashboard)",'Test-keyslar'!$P$2:$P$167,"Passed")</f>
        <v/>
      </c>
      <c r="L15" s="14">
        <f>COUNTIFS('Test-keyslar'!$B$2:$B$167,"Bosh sahifa (Dashboard)",'Test-keyslar'!$P$2:$P$167,"Failed")</f>
        <v/>
      </c>
      <c r="M15" s="14">
        <f>COUNTIFS('Test-keyslar'!$B$2:$B$167,"Bosh sahifa (Dashboard)",'Test-keyslar'!$P$2:$P$167,"Blocked")</f>
        <v/>
      </c>
      <c r="N15" s="14">
        <f>COUNTIFS('Test-keyslar'!$B$2:$B$167,"Bosh sahifa (Dashboard)",'Test-keyslar'!$P$2:$P$167,"Skipped")</f>
        <v/>
      </c>
      <c r="O15" s="14">
        <f>COUNTIFS('Test-keyslar'!$B$2:$B$167,"Bosh sahifa (Dashboard)",'Test-keyslar'!$P$2:$P$167,"Bajarilmagan")</f>
        <v/>
      </c>
    </row>
    <row r="16">
      <c r="A16" s="10" t="inlineStr">
        <is>
          <t>PINC — Qabul qilingan mahsulot (kirim)</t>
        </is>
      </c>
      <c r="B16" s="11">
        <f>COUNTIF('Test-keyslar'!$B$2:$B$167,"Qabul qilingan mahsulot (kirim)")</f>
        <v/>
      </c>
      <c r="C16" s="11">
        <f>COUNTIFS('Test-keyslar'!$B$2:$B$167,"Qabul qilingan mahsulot (kirim)",'Test-keyslar'!$E$2:$E$167,"P1")</f>
        <v/>
      </c>
      <c r="D16" s="11">
        <f>COUNTIFS('Test-keyslar'!$B$2:$B$167,"Qabul qilingan mahsulot (kirim)",'Test-keyslar'!$E$2:$E$167,"P2")</f>
        <v/>
      </c>
      <c r="E16" s="11">
        <f>COUNTIFS('Test-keyslar'!$B$2:$B$167,"Qabul qilingan mahsulot (kirim)",'Test-keyslar'!$E$2:$E$167,"P3")</f>
        <v/>
      </c>
      <c r="F16" s="11">
        <f>COUNTIFS('Test-keyslar'!$B$2:$B$167,"Qabul qilingan mahsulot (kirim)",'Test-keyslar'!$L$2:$L$167,"Ha")</f>
        <v/>
      </c>
      <c r="G16" s="11">
        <f>COUNTIFS('Test-keyslar'!$B$2:$B$167,"Qabul qilingan mahsulot (kirim)",'Test-keyslar'!$L$2:$L$167,"Qisman")</f>
        <v/>
      </c>
      <c r="H16" s="11">
        <f>COUNTIFS('Test-keyslar'!$B$2:$B$167,"Qabul qilingan mahsulot (kirim)",'Test-keyslar'!$L$2:$L$167,"Yo'q")</f>
        <v/>
      </c>
      <c r="I16" s="11">
        <f>COUNTIFS('Test-keyslar'!$B$2:$B$167,"Qabul qilingan mahsulot (kirim)",'Test-keyslar'!$N$2:$N$167,"Avtomatlashtirilgan")</f>
        <v/>
      </c>
      <c r="J16" s="12">
        <f>IF(B16=0,0,I16/B16)</f>
        <v/>
      </c>
      <c r="K16" s="11">
        <f>COUNTIFS('Test-keyslar'!$B$2:$B$167,"Qabul qilingan mahsulot (kirim)",'Test-keyslar'!$P$2:$P$167,"Passed")</f>
        <v/>
      </c>
      <c r="L16" s="11">
        <f>COUNTIFS('Test-keyslar'!$B$2:$B$167,"Qabul qilingan mahsulot (kirim)",'Test-keyslar'!$P$2:$P$167,"Failed")</f>
        <v/>
      </c>
      <c r="M16" s="11">
        <f>COUNTIFS('Test-keyslar'!$B$2:$B$167,"Qabul qilingan mahsulot (kirim)",'Test-keyslar'!$P$2:$P$167,"Blocked")</f>
        <v/>
      </c>
      <c r="N16" s="11">
        <f>COUNTIFS('Test-keyslar'!$B$2:$B$167,"Qabul qilingan mahsulot (kirim)",'Test-keyslar'!$P$2:$P$167,"Skipped")</f>
        <v/>
      </c>
      <c r="O16" s="11">
        <f>COUNTIFS('Test-keyslar'!$B$2:$B$167,"Qabul qilingan mahsulot (kirim)",'Test-keyslar'!$P$2:$P$167,"Bajarilmagan")</f>
        <v/>
      </c>
    </row>
    <row r="17">
      <c r="A17" s="13" t="inlineStr">
        <is>
          <t>PRICE — Narxni o'zgartirish</t>
        </is>
      </c>
      <c r="B17" s="14">
        <f>COUNTIF('Test-keyslar'!$B$2:$B$167,"Narxni o'zgartirish")</f>
        <v/>
      </c>
      <c r="C17" s="14">
        <f>COUNTIFS('Test-keyslar'!$B$2:$B$167,"Narxni o'zgartirish",'Test-keyslar'!$E$2:$E$167,"P1")</f>
        <v/>
      </c>
      <c r="D17" s="14">
        <f>COUNTIFS('Test-keyslar'!$B$2:$B$167,"Narxni o'zgartirish",'Test-keyslar'!$E$2:$E$167,"P2")</f>
        <v/>
      </c>
      <c r="E17" s="14">
        <f>COUNTIFS('Test-keyslar'!$B$2:$B$167,"Narxni o'zgartirish",'Test-keyslar'!$E$2:$E$167,"P3")</f>
        <v/>
      </c>
      <c r="F17" s="14">
        <f>COUNTIFS('Test-keyslar'!$B$2:$B$167,"Narxni o'zgartirish",'Test-keyslar'!$L$2:$L$167,"Ha")</f>
        <v/>
      </c>
      <c r="G17" s="14">
        <f>COUNTIFS('Test-keyslar'!$B$2:$B$167,"Narxni o'zgartirish",'Test-keyslar'!$L$2:$L$167,"Qisman")</f>
        <v/>
      </c>
      <c r="H17" s="14">
        <f>COUNTIFS('Test-keyslar'!$B$2:$B$167,"Narxni o'zgartirish",'Test-keyslar'!$L$2:$L$167,"Yo'q")</f>
        <v/>
      </c>
      <c r="I17" s="14">
        <f>COUNTIFS('Test-keyslar'!$B$2:$B$167,"Narxni o'zgartirish",'Test-keyslar'!$N$2:$N$167,"Avtomatlashtirilgan")</f>
        <v/>
      </c>
      <c r="J17" s="15">
        <f>IF(B17=0,0,I17/B17)</f>
        <v/>
      </c>
      <c r="K17" s="14">
        <f>COUNTIFS('Test-keyslar'!$B$2:$B$167,"Narxni o'zgartirish",'Test-keyslar'!$P$2:$P$167,"Passed")</f>
        <v/>
      </c>
      <c r="L17" s="14">
        <f>COUNTIFS('Test-keyslar'!$B$2:$B$167,"Narxni o'zgartirish",'Test-keyslar'!$P$2:$P$167,"Failed")</f>
        <v/>
      </c>
      <c r="M17" s="14">
        <f>COUNTIFS('Test-keyslar'!$B$2:$B$167,"Narxni o'zgartirish",'Test-keyslar'!$P$2:$P$167,"Blocked")</f>
        <v/>
      </c>
      <c r="N17" s="14">
        <f>COUNTIFS('Test-keyslar'!$B$2:$B$167,"Narxni o'zgartirish",'Test-keyslar'!$P$2:$P$167,"Skipped")</f>
        <v/>
      </c>
      <c r="O17" s="14">
        <f>COUNTIFS('Test-keyslar'!$B$2:$B$167,"Narxni o'zgartirish",'Test-keyslar'!$P$2:$P$167,"Bajarilmagan")</f>
        <v/>
      </c>
    </row>
    <row r="18">
      <c r="A18" s="10" t="inlineStr">
        <is>
          <t>INV — Inventarizatsiya</t>
        </is>
      </c>
      <c r="B18" s="11">
        <f>COUNTIF('Test-keyslar'!$B$2:$B$167,"Inventarizatsiya")</f>
        <v/>
      </c>
      <c r="C18" s="11">
        <f>COUNTIFS('Test-keyslar'!$B$2:$B$167,"Inventarizatsiya",'Test-keyslar'!$E$2:$E$167,"P1")</f>
        <v/>
      </c>
      <c r="D18" s="11">
        <f>COUNTIFS('Test-keyslar'!$B$2:$B$167,"Inventarizatsiya",'Test-keyslar'!$E$2:$E$167,"P2")</f>
        <v/>
      </c>
      <c r="E18" s="11">
        <f>COUNTIFS('Test-keyslar'!$B$2:$B$167,"Inventarizatsiya",'Test-keyslar'!$E$2:$E$167,"P3")</f>
        <v/>
      </c>
      <c r="F18" s="11">
        <f>COUNTIFS('Test-keyslar'!$B$2:$B$167,"Inventarizatsiya",'Test-keyslar'!$L$2:$L$167,"Ha")</f>
        <v/>
      </c>
      <c r="G18" s="11">
        <f>COUNTIFS('Test-keyslar'!$B$2:$B$167,"Inventarizatsiya",'Test-keyslar'!$L$2:$L$167,"Qisman")</f>
        <v/>
      </c>
      <c r="H18" s="11">
        <f>COUNTIFS('Test-keyslar'!$B$2:$B$167,"Inventarizatsiya",'Test-keyslar'!$L$2:$L$167,"Yo'q")</f>
        <v/>
      </c>
      <c r="I18" s="11">
        <f>COUNTIFS('Test-keyslar'!$B$2:$B$167,"Inventarizatsiya",'Test-keyslar'!$N$2:$N$167,"Avtomatlashtirilgan")</f>
        <v/>
      </c>
      <c r="J18" s="12">
        <f>IF(B18=0,0,I18/B18)</f>
        <v/>
      </c>
      <c r="K18" s="11">
        <f>COUNTIFS('Test-keyslar'!$B$2:$B$167,"Inventarizatsiya",'Test-keyslar'!$P$2:$P$167,"Passed")</f>
        <v/>
      </c>
      <c r="L18" s="11">
        <f>COUNTIFS('Test-keyslar'!$B$2:$B$167,"Inventarizatsiya",'Test-keyslar'!$P$2:$P$167,"Failed")</f>
        <v/>
      </c>
      <c r="M18" s="11">
        <f>COUNTIFS('Test-keyslar'!$B$2:$B$167,"Inventarizatsiya",'Test-keyslar'!$P$2:$P$167,"Blocked")</f>
        <v/>
      </c>
      <c r="N18" s="11">
        <f>COUNTIFS('Test-keyslar'!$B$2:$B$167,"Inventarizatsiya",'Test-keyslar'!$P$2:$P$167,"Skipped")</f>
        <v/>
      </c>
      <c r="O18" s="11">
        <f>COUNTIFS('Test-keyslar'!$B$2:$B$167,"Inventarizatsiya",'Test-keyslar'!$P$2:$P$167,"Bajarilmagan")</f>
        <v/>
      </c>
    </row>
    <row r="19">
      <c r="A19" s="13" t="inlineStr">
        <is>
          <t>TRF — Mahsulot yuborish (o'tkazma)</t>
        </is>
      </c>
      <c r="B19" s="14">
        <f>COUNTIF('Test-keyslar'!$B$2:$B$167,"Mahsulot yuborish (o'tkazma)")</f>
        <v/>
      </c>
      <c r="C19" s="14">
        <f>COUNTIFS('Test-keyslar'!$B$2:$B$167,"Mahsulot yuborish (o'tkazma)",'Test-keyslar'!$E$2:$E$167,"P1")</f>
        <v/>
      </c>
      <c r="D19" s="14">
        <f>COUNTIFS('Test-keyslar'!$B$2:$B$167,"Mahsulot yuborish (o'tkazma)",'Test-keyslar'!$E$2:$E$167,"P2")</f>
        <v/>
      </c>
      <c r="E19" s="14">
        <f>COUNTIFS('Test-keyslar'!$B$2:$B$167,"Mahsulot yuborish (o'tkazma)",'Test-keyslar'!$E$2:$E$167,"P3")</f>
        <v/>
      </c>
      <c r="F19" s="14">
        <f>COUNTIFS('Test-keyslar'!$B$2:$B$167,"Mahsulot yuborish (o'tkazma)",'Test-keyslar'!$L$2:$L$167,"Ha")</f>
        <v/>
      </c>
      <c r="G19" s="14">
        <f>COUNTIFS('Test-keyslar'!$B$2:$B$167,"Mahsulot yuborish (o'tkazma)",'Test-keyslar'!$L$2:$L$167,"Qisman")</f>
        <v/>
      </c>
      <c r="H19" s="14">
        <f>COUNTIFS('Test-keyslar'!$B$2:$B$167,"Mahsulot yuborish (o'tkazma)",'Test-keyslar'!$L$2:$L$167,"Yo'q")</f>
        <v/>
      </c>
      <c r="I19" s="14">
        <f>COUNTIFS('Test-keyslar'!$B$2:$B$167,"Mahsulot yuborish (o'tkazma)",'Test-keyslar'!$N$2:$N$167,"Avtomatlashtirilgan")</f>
        <v/>
      </c>
      <c r="J19" s="15">
        <f>IF(B19=0,0,I19/B19)</f>
        <v/>
      </c>
      <c r="K19" s="14">
        <f>COUNTIFS('Test-keyslar'!$B$2:$B$167,"Mahsulot yuborish (o'tkazma)",'Test-keyslar'!$P$2:$P$167,"Passed")</f>
        <v/>
      </c>
      <c r="L19" s="14">
        <f>COUNTIFS('Test-keyslar'!$B$2:$B$167,"Mahsulot yuborish (o'tkazma)",'Test-keyslar'!$P$2:$P$167,"Failed")</f>
        <v/>
      </c>
      <c r="M19" s="14">
        <f>COUNTIFS('Test-keyslar'!$B$2:$B$167,"Mahsulot yuborish (o'tkazma)",'Test-keyslar'!$P$2:$P$167,"Blocked")</f>
        <v/>
      </c>
      <c r="N19" s="14">
        <f>COUNTIFS('Test-keyslar'!$B$2:$B$167,"Mahsulot yuborish (o'tkazma)",'Test-keyslar'!$P$2:$P$167,"Skipped")</f>
        <v/>
      </c>
      <c r="O19" s="14">
        <f>COUNTIFS('Test-keyslar'!$B$2:$B$167,"Mahsulot yuborish (o'tkazma)",'Test-keyslar'!$P$2:$P$167,"Bajarilmagan")</f>
        <v/>
      </c>
    </row>
    <row r="20">
      <c r="A20" s="10" t="inlineStr">
        <is>
          <t>PVAR — Mahsulot varianti (ehtiyoj)</t>
        </is>
      </c>
      <c r="B20" s="11">
        <f>COUNTIF('Test-keyslar'!$B$2:$B$167,"Mahsulot varianti (ehtiyoj)")</f>
        <v/>
      </c>
      <c r="C20" s="11">
        <f>COUNTIFS('Test-keyslar'!$B$2:$B$167,"Mahsulot varianti (ehtiyoj)",'Test-keyslar'!$E$2:$E$167,"P1")</f>
        <v/>
      </c>
      <c r="D20" s="11">
        <f>COUNTIFS('Test-keyslar'!$B$2:$B$167,"Mahsulot varianti (ehtiyoj)",'Test-keyslar'!$E$2:$E$167,"P2")</f>
        <v/>
      </c>
      <c r="E20" s="11">
        <f>COUNTIFS('Test-keyslar'!$B$2:$B$167,"Mahsulot varianti (ehtiyoj)",'Test-keyslar'!$E$2:$E$167,"P3")</f>
        <v/>
      </c>
      <c r="F20" s="11">
        <f>COUNTIFS('Test-keyslar'!$B$2:$B$167,"Mahsulot varianti (ehtiyoj)",'Test-keyslar'!$L$2:$L$167,"Ha")</f>
        <v/>
      </c>
      <c r="G20" s="11">
        <f>COUNTIFS('Test-keyslar'!$B$2:$B$167,"Mahsulot varianti (ehtiyoj)",'Test-keyslar'!$L$2:$L$167,"Qisman")</f>
        <v/>
      </c>
      <c r="H20" s="11">
        <f>COUNTIFS('Test-keyslar'!$B$2:$B$167,"Mahsulot varianti (ehtiyoj)",'Test-keyslar'!$L$2:$L$167,"Yo'q")</f>
        <v/>
      </c>
      <c r="I20" s="11">
        <f>COUNTIFS('Test-keyslar'!$B$2:$B$167,"Mahsulot varianti (ehtiyoj)",'Test-keyslar'!$N$2:$N$167,"Avtomatlashtirilgan")</f>
        <v/>
      </c>
      <c r="J20" s="12">
        <f>IF(B20=0,0,I20/B20)</f>
        <v/>
      </c>
      <c r="K20" s="11">
        <f>COUNTIFS('Test-keyslar'!$B$2:$B$167,"Mahsulot varianti (ehtiyoj)",'Test-keyslar'!$P$2:$P$167,"Passed")</f>
        <v/>
      </c>
      <c r="L20" s="11">
        <f>COUNTIFS('Test-keyslar'!$B$2:$B$167,"Mahsulot varianti (ehtiyoj)",'Test-keyslar'!$P$2:$P$167,"Failed")</f>
        <v/>
      </c>
      <c r="M20" s="11">
        <f>COUNTIFS('Test-keyslar'!$B$2:$B$167,"Mahsulot varianti (ehtiyoj)",'Test-keyslar'!$P$2:$P$167,"Blocked")</f>
        <v/>
      </c>
      <c r="N20" s="11">
        <f>COUNTIFS('Test-keyslar'!$B$2:$B$167,"Mahsulot varianti (ehtiyoj)",'Test-keyslar'!$P$2:$P$167,"Skipped")</f>
        <v/>
      </c>
      <c r="O20" s="11">
        <f>COUNTIFS('Test-keyslar'!$B$2:$B$167,"Mahsulot varianti (ehtiyoj)",'Test-keyslar'!$P$2:$P$167,"Bajarilmagan")</f>
        <v/>
      </c>
    </row>
    <row r="21">
      <c r="A21" s="13" t="inlineStr">
        <is>
          <t>DISC — Chegirma va aksiyalar</t>
        </is>
      </c>
      <c r="B21" s="14">
        <f>COUNTIF('Test-keyslar'!$B$2:$B$167,"Chegirma va aksiyalar")</f>
        <v/>
      </c>
      <c r="C21" s="14">
        <f>COUNTIFS('Test-keyslar'!$B$2:$B$167,"Chegirma va aksiyalar",'Test-keyslar'!$E$2:$E$167,"P1")</f>
        <v/>
      </c>
      <c r="D21" s="14">
        <f>COUNTIFS('Test-keyslar'!$B$2:$B$167,"Chegirma va aksiyalar",'Test-keyslar'!$E$2:$E$167,"P2")</f>
        <v/>
      </c>
      <c r="E21" s="14">
        <f>COUNTIFS('Test-keyslar'!$B$2:$B$167,"Chegirma va aksiyalar",'Test-keyslar'!$E$2:$E$167,"P3")</f>
        <v/>
      </c>
      <c r="F21" s="14">
        <f>COUNTIFS('Test-keyslar'!$B$2:$B$167,"Chegirma va aksiyalar",'Test-keyslar'!$L$2:$L$167,"Ha")</f>
        <v/>
      </c>
      <c r="G21" s="14">
        <f>COUNTIFS('Test-keyslar'!$B$2:$B$167,"Chegirma va aksiyalar",'Test-keyslar'!$L$2:$L$167,"Qisman")</f>
        <v/>
      </c>
      <c r="H21" s="14">
        <f>COUNTIFS('Test-keyslar'!$B$2:$B$167,"Chegirma va aksiyalar",'Test-keyslar'!$L$2:$L$167,"Yo'q")</f>
        <v/>
      </c>
      <c r="I21" s="14">
        <f>COUNTIFS('Test-keyslar'!$B$2:$B$167,"Chegirma va aksiyalar",'Test-keyslar'!$N$2:$N$167,"Avtomatlashtirilgan")</f>
        <v/>
      </c>
      <c r="J21" s="15">
        <f>IF(B21=0,0,I21/B21)</f>
        <v/>
      </c>
      <c r="K21" s="14">
        <f>COUNTIFS('Test-keyslar'!$B$2:$B$167,"Chegirma va aksiyalar",'Test-keyslar'!$P$2:$P$167,"Passed")</f>
        <v/>
      </c>
      <c r="L21" s="14">
        <f>COUNTIFS('Test-keyslar'!$B$2:$B$167,"Chegirma va aksiyalar",'Test-keyslar'!$P$2:$P$167,"Failed")</f>
        <v/>
      </c>
      <c r="M21" s="14">
        <f>COUNTIFS('Test-keyslar'!$B$2:$B$167,"Chegirma va aksiyalar",'Test-keyslar'!$P$2:$P$167,"Blocked")</f>
        <v/>
      </c>
      <c r="N21" s="14">
        <f>COUNTIFS('Test-keyslar'!$B$2:$B$167,"Chegirma va aksiyalar",'Test-keyslar'!$P$2:$P$167,"Skipped")</f>
        <v/>
      </c>
      <c r="O21" s="14">
        <f>COUNTIFS('Test-keyslar'!$B$2:$B$167,"Chegirma va aksiyalar",'Test-keyslar'!$P$2:$P$167,"Bajarilmagan")</f>
        <v/>
      </c>
    </row>
    <row r="22">
      <c r="A22" s="10" t="inlineStr">
        <is>
          <t>PROD — Mahsulotlar va variantlar</t>
        </is>
      </c>
      <c r="B22" s="11">
        <f>COUNTIF('Test-keyslar'!$B$2:$B$167,"Mahsulotlar va variantlar")</f>
        <v/>
      </c>
      <c r="C22" s="11">
        <f>COUNTIFS('Test-keyslar'!$B$2:$B$167,"Mahsulotlar va variantlar",'Test-keyslar'!$E$2:$E$167,"P1")</f>
        <v/>
      </c>
      <c r="D22" s="11">
        <f>COUNTIFS('Test-keyslar'!$B$2:$B$167,"Mahsulotlar va variantlar",'Test-keyslar'!$E$2:$E$167,"P2")</f>
        <v/>
      </c>
      <c r="E22" s="11">
        <f>COUNTIFS('Test-keyslar'!$B$2:$B$167,"Mahsulotlar va variantlar",'Test-keyslar'!$E$2:$E$167,"P3")</f>
        <v/>
      </c>
      <c r="F22" s="11">
        <f>COUNTIFS('Test-keyslar'!$B$2:$B$167,"Mahsulotlar va variantlar",'Test-keyslar'!$L$2:$L$167,"Ha")</f>
        <v/>
      </c>
      <c r="G22" s="11">
        <f>COUNTIFS('Test-keyslar'!$B$2:$B$167,"Mahsulotlar va variantlar",'Test-keyslar'!$L$2:$L$167,"Qisman")</f>
        <v/>
      </c>
      <c r="H22" s="11">
        <f>COUNTIFS('Test-keyslar'!$B$2:$B$167,"Mahsulotlar va variantlar",'Test-keyslar'!$L$2:$L$167,"Yo'q")</f>
        <v/>
      </c>
      <c r="I22" s="11">
        <f>COUNTIFS('Test-keyslar'!$B$2:$B$167,"Mahsulotlar va variantlar",'Test-keyslar'!$N$2:$N$167,"Avtomatlashtirilgan")</f>
        <v/>
      </c>
      <c r="J22" s="12">
        <f>IF(B22=0,0,I22/B22)</f>
        <v/>
      </c>
      <c r="K22" s="11">
        <f>COUNTIFS('Test-keyslar'!$B$2:$B$167,"Mahsulotlar va variantlar",'Test-keyslar'!$P$2:$P$167,"Passed")</f>
        <v/>
      </c>
      <c r="L22" s="11">
        <f>COUNTIFS('Test-keyslar'!$B$2:$B$167,"Mahsulotlar va variantlar",'Test-keyslar'!$P$2:$P$167,"Failed")</f>
        <v/>
      </c>
      <c r="M22" s="11">
        <f>COUNTIFS('Test-keyslar'!$B$2:$B$167,"Mahsulotlar va variantlar",'Test-keyslar'!$P$2:$P$167,"Blocked")</f>
        <v/>
      </c>
      <c r="N22" s="11">
        <f>COUNTIFS('Test-keyslar'!$B$2:$B$167,"Mahsulotlar va variantlar",'Test-keyslar'!$P$2:$P$167,"Skipped")</f>
        <v/>
      </c>
      <c r="O22" s="11">
        <f>COUNTIFS('Test-keyslar'!$B$2:$B$167,"Mahsulotlar va variantlar",'Test-keyslar'!$P$2:$P$167,"Bajarilmagan")</f>
        <v/>
      </c>
    </row>
    <row r="23">
      <c r="A23" s="13" t="inlineStr">
        <is>
          <t>DIR — Katalog ma'lumotnomalari</t>
        </is>
      </c>
      <c r="B23" s="14">
        <f>COUNTIF('Test-keyslar'!$B$2:$B$167,"Katalog ma'lumotnomalari")</f>
        <v/>
      </c>
      <c r="C23" s="14">
        <f>COUNTIFS('Test-keyslar'!$B$2:$B$167,"Katalog ma'lumotnomalari",'Test-keyslar'!$E$2:$E$167,"P1")</f>
        <v/>
      </c>
      <c r="D23" s="14">
        <f>COUNTIFS('Test-keyslar'!$B$2:$B$167,"Katalog ma'lumotnomalari",'Test-keyslar'!$E$2:$E$167,"P2")</f>
        <v/>
      </c>
      <c r="E23" s="14">
        <f>COUNTIFS('Test-keyslar'!$B$2:$B$167,"Katalog ma'lumotnomalari",'Test-keyslar'!$E$2:$E$167,"P3")</f>
        <v/>
      </c>
      <c r="F23" s="14">
        <f>COUNTIFS('Test-keyslar'!$B$2:$B$167,"Katalog ma'lumotnomalari",'Test-keyslar'!$L$2:$L$167,"Ha")</f>
        <v/>
      </c>
      <c r="G23" s="14">
        <f>COUNTIFS('Test-keyslar'!$B$2:$B$167,"Katalog ma'lumotnomalari",'Test-keyslar'!$L$2:$L$167,"Qisman")</f>
        <v/>
      </c>
      <c r="H23" s="14">
        <f>COUNTIFS('Test-keyslar'!$B$2:$B$167,"Katalog ma'lumotnomalari",'Test-keyslar'!$L$2:$L$167,"Yo'q")</f>
        <v/>
      </c>
      <c r="I23" s="14">
        <f>COUNTIFS('Test-keyslar'!$B$2:$B$167,"Katalog ma'lumotnomalari",'Test-keyslar'!$N$2:$N$167,"Avtomatlashtirilgan")</f>
        <v/>
      </c>
      <c r="J23" s="15">
        <f>IF(B23=0,0,I23/B23)</f>
        <v/>
      </c>
      <c r="K23" s="14">
        <f>COUNTIFS('Test-keyslar'!$B$2:$B$167,"Katalog ma'lumotnomalari",'Test-keyslar'!$P$2:$P$167,"Passed")</f>
        <v/>
      </c>
      <c r="L23" s="14">
        <f>COUNTIFS('Test-keyslar'!$B$2:$B$167,"Katalog ma'lumotnomalari",'Test-keyslar'!$P$2:$P$167,"Failed")</f>
        <v/>
      </c>
      <c r="M23" s="14">
        <f>COUNTIFS('Test-keyslar'!$B$2:$B$167,"Katalog ma'lumotnomalari",'Test-keyslar'!$P$2:$P$167,"Blocked")</f>
        <v/>
      </c>
      <c r="N23" s="14">
        <f>COUNTIFS('Test-keyslar'!$B$2:$B$167,"Katalog ma'lumotnomalari",'Test-keyslar'!$P$2:$P$167,"Skipped")</f>
        <v/>
      </c>
      <c r="O23" s="14">
        <f>COUNTIFS('Test-keyslar'!$B$2:$B$167,"Katalog ma'lumotnomalari",'Test-keyslar'!$P$2:$P$167,"Bajarilmagan")</f>
        <v/>
      </c>
    </row>
    <row r="24">
      <c r="A24" s="10" t="inlineStr">
        <is>
          <t>ORD — Buyurtmalar</t>
        </is>
      </c>
      <c r="B24" s="11">
        <f>COUNTIF('Test-keyslar'!$B$2:$B$167,"Buyurtmalar")</f>
        <v/>
      </c>
      <c r="C24" s="11">
        <f>COUNTIFS('Test-keyslar'!$B$2:$B$167,"Buyurtmalar",'Test-keyslar'!$E$2:$E$167,"P1")</f>
        <v/>
      </c>
      <c r="D24" s="11">
        <f>COUNTIFS('Test-keyslar'!$B$2:$B$167,"Buyurtmalar",'Test-keyslar'!$E$2:$E$167,"P2")</f>
        <v/>
      </c>
      <c r="E24" s="11">
        <f>COUNTIFS('Test-keyslar'!$B$2:$B$167,"Buyurtmalar",'Test-keyslar'!$E$2:$E$167,"P3")</f>
        <v/>
      </c>
      <c r="F24" s="11">
        <f>COUNTIFS('Test-keyslar'!$B$2:$B$167,"Buyurtmalar",'Test-keyslar'!$L$2:$L$167,"Ha")</f>
        <v/>
      </c>
      <c r="G24" s="11">
        <f>COUNTIFS('Test-keyslar'!$B$2:$B$167,"Buyurtmalar",'Test-keyslar'!$L$2:$L$167,"Qisman")</f>
        <v/>
      </c>
      <c r="H24" s="11">
        <f>COUNTIFS('Test-keyslar'!$B$2:$B$167,"Buyurtmalar",'Test-keyslar'!$L$2:$L$167,"Yo'q")</f>
        <v/>
      </c>
      <c r="I24" s="11">
        <f>COUNTIFS('Test-keyslar'!$B$2:$B$167,"Buyurtmalar",'Test-keyslar'!$N$2:$N$167,"Avtomatlashtirilgan")</f>
        <v/>
      </c>
      <c r="J24" s="12">
        <f>IF(B24=0,0,I24/B24)</f>
        <v/>
      </c>
      <c r="K24" s="11">
        <f>COUNTIFS('Test-keyslar'!$B$2:$B$167,"Buyurtmalar",'Test-keyslar'!$P$2:$P$167,"Passed")</f>
        <v/>
      </c>
      <c r="L24" s="11">
        <f>COUNTIFS('Test-keyslar'!$B$2:$B$167,"Buyurtmalar",'Test-keyslar'!$P$2:$P$167,"Failed")</f>
        <v/>
      </c>
      <c r="M24" s="11">
        <f>COUNTIFS('Test-keyslar'!$B$2:$B$167,"Buyurtmalar",'Test-keyslar'!$P$2:$P$167,"Blocked")</f>
        <v/>
      </c>
      <c r="N24" s="11">
        <f>COUNTIFS('Test-keyslar'!$B$2:$B$167,"Buyurtmalar",'Test-keyslar'!$P$2:$P$167,"Skipped")</f>
        <v/>
      </c>
      <c r="O24" s="11">
        <f>COUNTIFS('Test-keyslar'!$B$2:$B$167,"Buyurtmalar",'Test-keyslar'!$P$2:$P$167,"Bajarilmagan")</f>
        <v/>
      </c>
    </row>
    <row r="25">
      <c r="A25" s="13" t="inlineStr">
        <is>
          <t>SW — Sotuv oynasi</t>
        </is>
      </c>
      <c r="B25" s="14">
        <f>COUNTIF('Test-keyslar'!$B$2:$B$167,"Sotuv oynasi")</f>
        <v/>
      </c>
      <c r="C25" s="14">
        <f>COUNTIFS('Test-keyslar'!$B$2:$B$167,"Sotuv oynasi",'Test-keyslar'!$E$2:$E$167,"P1")</f>
        <v/>
      </c>
      <c r="D25" s="14">
        <f>COUNTIFS('Test-keyslar'!$B$2:$B$167,"Sotuv oynasi",'Test-keyslar'!$E$2:$E$167,"P2")</f>
        <v/>
      </c>
      <c r="E25" s="14">
        <f>COUNTIFS('Test-keyslar'!$B$2:$B$167,"Sotuv oynasi",'Test-keyslar'!$E$2:$E$167,"P3")</f>
        <v/>
      </c>
      <c r="F25" s="14">
        <f>COUNTIFS('Test-keyslar'!$B$2:$B$167,"Sotuv oynasi",'Test-keyslar'!$L$2:$L$167,"Ha")</f>
        <v/>
      </c>
      <c r="G25" s="14">
        <f>COUNTIFS('Test-keyslar'!$B$2:$B$167,"Sotuv oynasi",'Test-keyslar'!$L$2:$L$167,"Qisman")</f>
        <v/>
      </c>
      <c r="H25" s="14">
        <f>COUNTIFS('Test-keyslar'!$B$2:$B$167,"Sotuv oynasi",'Test-keyslar'!$L$2:$L$167,"Yo'q")</f>
        <v/>
      </c>
      <c r="I25" s="14">
        <f>COUNTIFS('Test-keyslar'!$B$2:$B$167,"Sotuv oynasi",'Test-keyslar'!$N$2:$N$167,"Avtomatlashtirilgan")</f>
        <v/>
      </c>
      <c r="J25" s="15">
        <f>IF(B25=0,0,I25/B25)</f>
        <v/>
      </c>
      <c r="K25" s="14">
        <f>COUNTIFS('Test-keyslar'!$B$2:$B$167,"Sotuv oynasi",'Test-keyslar'!$P$2:$P$167,"Passed")</f>
        <v/>
      </c>
      <c r="L25" s="14">
        <f>COUNTIFS('Test-keyslar'!$B$2:$B$167,"Sotuv oynasi",'Test-keyslar'!$P$2:$P$167,"Failed")</f>
        <v/>
      </c>
      <c r="M25" s="14">
        <f>COUNTIFS('Test-keyslar'!$B$2:$B$167,"Sotuv oynasi",'Test-keyslar'!$P$2:$P$167,"Blocked")</f>
        <v/>
      </c>
      <c r="N25" s="14">
        <f>COUNTIFS('Test-keyslar'!$B$2:$B$167,"Sotuv oynasi",'Test-keyslar'!$P$2:$P$167,"Skipped")</f>
        <v/>
      </c>
      <c r="O25" s="14">
        <f>COUNTIFS('Test-keyslar'!$B$2:$B$167,"Sotuv oynasi",'Test-keyslar'!$P$2:$P$167,"Bajarilmagan")</f>
        <v/>
      </c>
    </row>
    <row r="26">
      <c r="A26" s="10" t="inlineStr">
        <is>
          <t>RET — Mahsulot qaytarish</t>
        </is>
      </c>
      <c r="B26" s="11">
        <f>COUNTIF('Test-keyslar'!$B$2:$B$167,"Mahsulot qaytarish")</f>
        <v/>
      </c>
      <c r="C26" s="11">
        <f>COUNTIFS('Test-keyslar'!$B$2:$B$167,"Mahsulot qaytarish",'Test-keyslar'!$E$2:$E$167,"P1")</f>
        <v/>
      </c>
      <c r="D26" s="11">
        <f>COUNTIFS('Test-keyslar'!$B$2:$B$167,"Mahsulot qaytarish",'Test-keyslar'!$E$2:$E$167,"P2")</f>
        <v/>
      </c>
      <c r="E26" s="11">
        <f>COUNTIFS('Test-keyslar'!$B$2:$B$167,"Mahsulot qaytarish",'Test-keyslar'!$E$2:$E$167,"P3")</f>
        <v/>
      </c>
      <c r="F26" s="11">
        <f>COUNTIFS('Test-keyslar'!$B$2:$B$167,"Mahsulot qaytarish",'Test-keyslar'!$L$2:$L$167,"Ha")</f>
        <v/>
      </c>
      <c r="G26" s="11">
        <f>COUNTIFS('Test-keyslar'!$B$2:$B$167,"Mahsulot qaytarish",'Test-keyslar'!$L$2:$L$167,"Qisman")</f>
        <v/>
      </c>
      <c r="H26" s="11">
        <f>COUNTIFS('Test-keyslar'!$B$2:$B$167,"Mahsulot qaytarish",'Test-keyslar'!$L$2:$L$167,"Yo'q")</f>
        <v/>
      </c>
      <c r="I26" s="11">
        <f>COUNTIFS('Test-keyslar'!$B$2:$B$167,"Mahsulot qaytarish",'Test-keyslar'!$N$2:$N$167,"Avtomatlashtirilgan")</f>
        <v/>
      </c>
      <c r="J26" s="12">
        <f>IF(B26=0,0,I26/B26)</f>
        <v/>
      </c>
      <c r="K26" s="11">
        <f>COUNTIFS('Test-keyslar'!$B$2:$B$167,"Mahsulot qaytarish",'Test-keyslar'!$P$2:$P$167,"Passed")</f>
        <v/>
      </c>
      <c r="L26" s="11">
        <f>COUNTIFS('Test-keyslar'!$B$2:$B$167,"Mahsulot qaytarish",'Test-keyslar'!$P$2:$P$167,"Failed")</f>
        <v/>
      </c>
      <c r="M26" s="11">
        <f>COUNTIFS('Test-keyslar'!$B$2:$B$167,"Mahsulot qaytarish",'Test-keyslar'!$P$2:$P$167,"Blocked")</f>
        <v/>
      </c>
      <c r="N26" s="11">
        <f>COUNTIFS('Test-keyslar'!$B$2:$B$167,"Mahsulot qaytarish",'Test-keyslar'!$P$2:$P$167,"Skipped")</f>
        <v/>
      </c>
      <c r="O26" s="11">
        <f>COUNTIFS('Test-keyslar'!$B$2:$B$167,"Mahsulot qaytarish",'Test-keyslar'!$P$2:$P$167,"Bajarilmagan")</f>
        <v/>
      </c>
    </row>
    <row r="27">
      <c r="A27" s="13" t="inlineStr">
        <is>
          <t>BIL — Hisob-kitob (kassa)</t>
        </is>
      </c>
      <c r="B27" s="14">
        <f>COUNTIF('Test-keyslar'!$B$2:$B$167,"Hisob-kitob (kassa)")</f>
        <v/>
      </c>
      <c r="C27" s="14">
        <f>COUNTIFS('Test-keyslar'!$B$2:$B$167,"Hisob-kitob (kassa)",'Test-keyslar'!$E$2:$E$167,"P1")</f>
        <v/>
      </c>
      <c r="D27" s="14">
        <f>COUNTIFS('Test-keyslar'!$B$2:$B$167,"Hisob-kitob (kassa)",'Test-keyslar'!$E$2:$E$167,"P2")</f>
        <v/>
      </c>
      <c r="E27" s="14">
        <f>COUNTIFS('Test-keyslar'!$B$2:$B$167,"Hisob-kitob (kassa)",'Test-keyslar'!$E$2:$E$167,"P3")</f>
        <v/>
      </c>
      <c r="F27" s="14">
        <f>COUNTIFS('Test-keyslar'!$B$2:$B$167,"Hisob-kitob (kassa)",'Test-keyslar'!$L$2:$L$167,"Ha")</f>
        <v/>
      </c>
      <c r="G27" s="14">
        <f>COUNTIFS('Test-keyslar'!$B$2:$B$167,"Hisob-kitob (kassa)",'Test-keyslar'!$L$2:$L$167,"Qisman")</f>
        <v/>
      </c>
      <c r="H27" s="14">
        <f>COUNTIFS('Test-keyslar'!$B$2:$B$167,"Hisob-kitob (kassa)",'Test-keyslar'!$L$2:$L$167,"Yo'q")</f>
        <v/>
      </c>
      <c r="I27" s="14">
        <f>COUNTIFS('Test-keyslar'!$B$2:$B$167,"Hisob-kitob (kassa)",'Test-keyslar'!$N$2:$N$167,"Avtomatlashtirilgan")</f>
        <v/>
      </c>
      <c r="J27" s="15">
        <f>IF(B27=0,0,I27/B27)</f>
        <v/>
      </c>
      <c r="K27" s="14">
        <f>COUNTIFS('Test-keyslar'!$B$2:$B$167,"Hisob-kitob (kassa)",'Test-keyslar'!$P$2:$P$167,"Passed")</f>
        <v/>
      </c>
      <c r="L27" s="14">
        <f>COUNTIFS('Test-keyslar'!$B$2:$B$167,"Hisob-kitob (kassa)",'Test-keyslar'!$P$2:$P$167,"Failed")</f>
        <v/>
      </c>
      <c r="M27" s="14">
        <f>COUNTIFS('Test-keyslar'!$B$2:$B$167,"Hisob-kitob (kassa)",'Test-keyslar'!$P$2:$P$167,"Blocked")</f>
        <v/>
      </c>
      <c r="N27" s="14">
        <f>COUNTIFS('Test-keyslar'!$B$2:$B$167,"Hisob-kitob (kassa)",'Test-keyslar'!$P$2:$P$167,"Skipped")</f>
        <v/>
      </c>
      <c r="O27" s="14">
        <f>COUNTIFS('Test-keyslar'!$B$2:$B$167,"Hisob-kitob (kassa)",'Test-keyslar'!$P$2:$P$167,"Bajarilmagan")</f>
        <v/>
      </c>
    </row>
    <row r="28">
      <c r="A28" s="10" t="inlineStr">
        <is>
          <t>USR — Foydalanuvchilar va mijoz rollari</t>
        </is>
      </c>
      <c r="B28" s="11">
        <f>COUNTIF('Test-keyslar'!$B$2:$B$167,"Foydalanuvchilar va mijoz rollari")</f>
        <v/>
      </c>
      <c r="C28" s="11">
        <f>COUNTIFS('Test-keyslar'!$B$2:$B$167,"Foydalanuvchilar va mijoz rollari",'Test-keyslar'!$E$2:$E$167,"P1")</f>
        <v/>
      </c>
      <c r="D28" s="11">
        <f>COUNTIFS('Test-keyslar'!$B$2:$B$167,"Foydalanuvchilar va mijoz rollari",'Test-keyslar'!$E$2:$E$167,"P2")</f>
        <v/>
      </c>
      <c r="E28" s="11">
        <f>COUNTIFS('Test-keyslar'!$B$2:$B$167,"Foydalanuvchilar va mijoz rollari",'Test-keyslar'!$E$2:$E$167,"P3")</f>
        <v/>
      </c>
      <c r="F28" s="11">
        <f>COUNTIFS('Test-keyslar'!$B$2:$B$167,"Foydalanuvchilar va mijoz rollari",'Test-keyslar'!$L$2:$L$167,"Ha")</f>
        <v/>
      </c>
      <c r="G28" s="11">
        <f>COUNTIFS('Test-keyslar'!$B$2:$B$167,"Foydalanuvchilar va mijoz rollari",'Test-keyslar'!$L$2:$L$167,"Qisman")</f>
        <v/>
      </c>
      <c r="H28" s="11">
        <f>COUNTIFS('Test-keyslar'!$B$2:$B$167,"Foydalanuvchilar va mijoz rollari",'Test-keyslar'!$L$2:$L$167,"Yo'q")</f>
        <v/>
      </c>
      <c r="I28" s="11">
        <f>COUNTIFS('Test-keyslar'!$B$2:$B$167,"Foydalanuvchilar va mijoz rollari",'Test-keyslar'!$N$2:$N$167,"Avtomatlashtirilgan")</f>
        <v/>
      </c>
      <c r="J28" s="12">
        <f>IF(B28=0,0,I28/B28)</f>
        <v/>
      </c>
      <c r="K28" s="11">
        <f>COUNTIFS('Test-keyslar'!$B$2:$B$167,"Foydalanuvchilar va mijoz rollari",'Test-keyslar'!$P$2:$P$167,"Passed")</f>
        <v/>
      </c>
      <c r="L28" s="11">
        <f>COUNTIFS('Test-keyslar'!$B$2:$B$167,"Foydalanuvchilar va mijoz rollari",'Test-keyslar'!$P$2:$P$167,"Failed")</f>
        <v/>
      </c>
      <c r="M28" s="11">
        <f>COUNTIFS('Test-keyslar'!$B$2:$B$167,"Foydalanuvchilar va mijoz rollari",'Test-keyslar'!$P$2:$P$167,"Blocked")</f>
        <v/>
      </c>
      <c r="N28" s="11">
        <f>COUNTIFS('Test-keyslar'!$B$2:$B$167,"Foydalanuvchilar va mijoz rollari",'Test-keyslar'!$P$2:$P$167,"Skipped")</f>
        <v/>
      </c>
      <c r="O28" s="11">
        <f>COUNTIFS('Test-keyslar'!$B$2:$B$167,"Foydalanuvchilar va mijoz rollari",'Test-keyslar'!$P$2:$P$167,"Bajarilmagan")</f>
        <v/>
      </c>
    </row>
    <row r="29">
      <c r="A29" s="13" t="inlineStr">
        <is>
          <t>REQ — Mijoz so'rovlari</t>
        </is>
      </c>
      <c r="B29" s="14">
        <f>COUNTIF('Test-keyslar'!$B$2:$B$167,"Mijoz so'rovlari")</f>
        <v/>
      </c>
      <c r="C29" s="14">
        <f>COUNTIFS('Test-keyslar'!$B$2:$B$167,"Mijoz so'rovlari",'Test-keyslar'!$E$2:$E$167,"P1")</f>
        <v/>
      </c>
      <c r="D29" s="14">
        <f>COUNTIFS('Test-keyslar'!$B$2:$B$167,"Mijoz so'rovlari",'Test-keyslar'!$E$2:$E$167,"P2")</f>
        <v/>
      </c>
      <c r="E29" s="14">
        <f>COUNTIFS('Test-keyslar'!$B$2:$B$167,"Mijoz so'rovlari",'Test-keyslar'!$E$2:$E$167,"P3")</f>
        <v/>
      </c>
      <c r="F29" s="14">
        <f>COUNTIFS('Test-keyslar'!$B$2:$B$167,"Mijoz so'rovlari",'Test-keyslar'!$L$2:$L$167,"Ha")</f>
        <v/>
      </c>
      <c r="G29" s="14">
        <f>COUNTIFS('Test-keyslar'!$B$2:$B$167,"Mijoz so'rovlari",'Test-keyslar'!$L$2:$L$167,"Qisman")</f>
        <v/>
      </c>
      <c r="H29" s="14">
        <f>COUNTIFS('Test-keyslar'!$B$2:$B$167,"Mijoz so'rovlari",'Test-keyslar'!$L$2:$L$167,"Yo'q")</f>
        <v/>
      </c>
      <c r="I29" s="14">
        <f>COUNTIFS('Test-keyslar'!$B$2:$B$167,"Mijoz so'rovlari",'Test-keyslar'!$N$2:$N$167,"Avtomatlashtirilgan")</f>
        <v/>
      </c>
      <c r="J29" s="15">
        <f>IF(B29=0,0,I29/B29)</f>
        <v/>
      </c>
      <c r="K29" s="14">
        <f>COUNTIFS('Test-keyslar'!$B$2:$B$167,"Mijoz so'rovlari",'Test-keyslar'!$P$2:$P$167,"Passed")</f>
        <v/>
      </c>
      <c r="L29" s="14">
        <f>COUNTIFS('Test-keyslar'!$B$2:$B$167,"Mijoz so'rovlari",'Test-keyslar'!$P$2:$P$167,"Failed")</f>
        <v/>
      </c>
      <c r="M29" s="14">
        <f>COUNTIFS('Test-keyslar'!$B$2:$B$167,"Mijoz so'rovlari",'Test-keyslar'!$P$2:$P$167,"Blocked")</f>
        <v/>
      </c>
      <c r="N29" s="14">
        <f>COUNTIFS('Test-keyslar'!$B$2:$B$167,"Mijoz so'rovlari",'Test-keyslar'!$P$2:$P$167,"Skipped")</f>
        <v/>
      </c>
      <c r="O29" s="14">
        <f>COUNTIFS('Test-keyslar'!$B$2:$B$167,"Mijoz so'rovlari",'Test-keyslar'!$P$2:$P$167,"Bajarilmagan")</f>
        <v/>
      </c>
    </row>
    <row r="30">
      <c r="A30" s="10" t="inlineStr">
        <is>
          <t>WH — Omborlar</t>
        </is>
      </c>
      <c r="B30" s="11">
        <f>COUNTIF('Test-keyslar'!$B$2:$B$167,"Omborlar")</f>
        <v/>
      </c>
      <c r="C30" s="11">
        <f>COUNTIFS('Test-keyslar'!$B$2:$B$167,"Omborlar",'Test-keyslar'!$E$2:$E$167,"P1")</f>
        <v/>
      </c>
      <c r="D30" s="11">
        <f>COUNTIFS('Test-keyslar'!$B$2:$B$167,"Omborlar",'Test-keyslar'!$E$2:$E$167,"P2")</f>
        <v/>
      </c>
      <c r="E30" s="11">
        <f>COUNTIFS('Test-keyslar'!$B$2:$B$167,"Omborlar",'Test-keyslar'!$E$2:$E$167,"P3")</f>
        <v/>
      </c>
      <c r="F30" s="11">
        <f>COUNTIFS('Test-keyslar'!$B$2:$B$167,"Omborlar",'Test-keyslar'!$L$2:$L$167,"Ha")</f>
        <v/>
      </c>
      <c r="G30" s="11">
        <f>COUNTIFS('Test-keyslar'!$B$2:$B$167,"Omborlar",'Test-keyslar'!$L$2:$L$167,"Qisman")</f>
        <v/>
      </c>
      <c r="H30" s="11">
        <f>COUNTIFS('Test-keyslar'!$B$2:$B$167,"Omborlar",'Test-keyslar'!$L$2:$L$167,"Yo'q")</f>
        <v/>
      </c>
      <c r="I30" s="11">
        <f>COUNTIFS('Test-keyslar'!$B$2:$B$167,"Omborlar",'Test-keyslar'!$N$2:$N$167,"Avtomatlashtirilgan")</f>
        <v/>
      </c>
      <c r="J30" s="12">
        <f>IF(B30=0,0,I30/B30)</f>
        <v/>
      </c>
      <c r="K30" s="11">
        <f>COUNTIFS('Test-keyslar'!$B$2:$B$167,"Omborlar",'Test-keyslar'!$P$2:$P$167,"Passed")</f>
        <v/>
      </c>
      <c r="L30" s="11">
        <f>COUNTIFS('Test-keyslar'!$B$2:$B$167,"Omborlar",'Test-keyslar'!$P$2:$P$167,"Failed")</f>
        <v/>
      </c>
      <c r="M30" s="11">
        <f>COUNTIFS('Test-keyslar'!$B$2:$B$167,"Omborlar",'Test-keyslar'!$P$2:$P$167,"Blocked")</f>
        <v/>
      </c>
      <c r="N30" s="11">
        <f>COUNTIFS('Test-keyslar'!$B$2:$B$167,"Omborlar",'Test-keyslar'!$P$2:$P$167,"Skipped")</f>
        <v/>
      </c>
      <c r="O30" s="11">
        <f>COUNTIFS('Test-keyslar'!$B$2:$B$167,"Omborlar",'Test-keyslar'!$P$2:$P$167,"Bajarilmagan")</f>
        <v/>
      </c>
    </row>
    <row r="31">
      <c r="A31" s="13" t="inlineStr">
        <is>
          <t>CUR — Valyuta</t>
        </is>
      </c>
      <c r="B31" s="14">
        <f>COUNTIF('Test-keyslar'!$B$2:$B$167,"Valyuta")</f>
        <v/>
      </c>
      <c r="C31" s="14">
        <f>COUNTIFS('Test-keyslar'!$B$2:$B$167,"Valyuta",'Test-keyslar'!$E$2:$E$167,"P1")</f>
        <v/>
      </c>
      <c r="D31" s="14">
        <f>COUNTIFS('Test-keyslar'!$B$2:$B$167,"Valyuta",'Test-keyslar'!$E$2:$E$167,"P2")</f>
        <v/>
      </c>
      <c r="E31" s="14">
        <f>COUNTIFS('Test-keyslar'!$B$2:$B$167,"Valyuta",'Test-keyslar'!$E$2:$E$167,"P3")</f>
        <v/>
      </c>
      <c r="F31" s="14">
        <f>COUNTIFS('Test-keyslar'!$B$2:$B$167,"Valyuta",'Test-keyslar'!$L$2:$L$167,"Ha")</f>
        <v/>
      </c>
      <c r="G31" s="14">
        <f>COUNTIFS('Test-keyslar'!$B$2:$B$167,"Valyuta",'Test-keyslar'!$L$2:$L$167,"Qisman")</f>
        <v/>
      </c>
      <c r="H31" s="14">
        <f>COUNTIFS('Test-keyslar'!$B$2:$B$167,"Valyuta",'Test-keyslar'!$L$2:$L$167,"Yo'q")</f>
        <v/>
      </c>
      <c r="I31" s="14">
        <f>COUNTIFS('Test-keyslar'!$B$2:$B$167,"Valyuta",'Test-keyslar'!$N$2:$N$167,"Avtomatlashtirilgan")</f>
        <v/>
      </c>
      <c r="J31" s="15">
        <f>IF(B31=0,0,I31/B31)</f>
        <v/>
      </c>
      <c r="K31" s="14">
        <f>COUNTIFS('Test-keyslar'!$B$2:$B$167,"Valyuta",'Test-keyslar'!$P$2:$P$167,"Passed")</f>
        <v/>
      </c>
      <c r="L31" s="14">
        <f>COUNTIFS('Test-keyslar'!$B$2:$B$167,"Valyuta",'Test-keyslar'!$P$2:$P$167,"Failed")</f>
        <v/>
      </c>
      <c r="M31" s="14">
        <f>COUNTIFS('Test-keyslar'!$B$2:$B$167,"Valyuta",'Test-keyslar'!$P$2:$P$167,"Blocked")</f>
        <v/>
      </c>
      <c r="N31" s="14">
        <f>COUNTIFS('Test-keyslar'!$B$2:$B$167,"Valyuta",'Test-keyslar'!$P$2:$P$167,"Skipped")</f>
        <v/>
      </c>
      <c r="O31" s="14">
        <f>COUNTIFS('Test-keyslar'!$B$2:$B$167,"Valyuta",'Test-keyslar'!$P$2:$P$167,"Bajarilmagan")</f>
        <v/>
      </c>
    </row>
    <row r="32">
      <c r="A32" s="10" t="inlineStr">
        <is>
          <t>BAN — Bannerlar</t>
        </is>
      </c>
      <c r="B32" s="11">
        <f>COUNTIF('Test-keyslar'!$B$2:$B$167,"Bannerlar")</f>
        <v/>
      </c>
      <c r="C32" s="11">
        <f>COUNTIFS('Test-keyslar'!$B$2:$B$167,"Bannerlar",'Test-keyslar'!$E$2:$E$167,"P1")</f>
        <v/>
      </c>
      <c r="D32" s="11">
        <f>COUNTIFS('Test-keyslar'!$B$2:$B$167,"Bannerlar",'Test-keyslar'!$E$2:$E$167,"P2")</f>
        <v/>
      </c>
      <c r="E32" s="11">
        <f>COUNTIFS('Test-keyslar'!$B$2:$B$167,"Bannerlar",'Test-keyslar'!$E$2:$E$167,"P3")</f>
        <v/>
      </c>
      <c r="F32" s="11">
        <f>COUNTIFS('Test-keyslar'!$B$2:$B$167,"Bannerlar",'Test-keyslar'!$L$2:$L$167,"Ha")</f>
        <v/>
      </c>
      <c r="G32" s="11">
        <f>COUNTIFS('Test-keyslar'!$B$2:$B$167,"Bannerlar",'Test-keyslar'!$L$2:$L$167,"Qisman")</f>
        <v/>
      </c>
      <c r="H32" s="11">
        <f>COUNTIFS('Test-keyslar'!$B$2:$B$167,"Bannerlar",'Test-keyslar'!$L$2:$L$167,"Yo'q")</f>
        <v/>
      </c>
      <c r="I32" s="11">
        <f>COUNTIFS('Test-keyslar'!$B$2:$B$167,"Bannerlar",'Test-keyslar'!$N$2:$N$167,"Avtomatlashtirilgan")</f>
        <v/>
      </c>
      <c r="J32" s="12">
        <f>IF(B32=0,0,I32/B32)</f>
        <v/>
      </c>
      <c r="K32" s="11">
        <f>COUNTIFS('Test-keyslar'!$B$2:$B$167,"Bannerlar",'Test-keyslar'!$P$2:$P$167,"Passed")</f>
        <v/>
      </c>
      <c r="L32" s="11">
        <f>COUNTIFS('Test-keyslar'!$B$2:$B$167,"Bannerlar",'Test-keyslar'!$P$2:$P$167,"Failed")</f>
        <v/>
      </c>
      <c r="M32" s="11">
        <f>COUNTIFS('Test-keyslar'!$B$2:$B$167,"Bannerlar",'Test-keyslar'!$P$2:$P$167,"Blocked")</f>
        <v/>
      </c>
      <c r="N32" s="11">
        <f>COUNTIFS('Test-keyslar'!$B$2:$B$167,"Bannerlar",'Test-keyslar'!$P$2:$P$167,"Skipped")</f>
        <v/>
      </c>
      <c r="O32" s="11">
        <f>COUNTIFS('Test-keyslar'!$B$2:$B$167,"Bannerlar",'Test-keyslar'!$P$2:$P$167,"Bajarilmagan")</f>
        <v/>
      </c>
    </row>
    <row r="33">
      <c r="A33" s="13" t="inlineStr">
        <is>
          <t>DEBT — Qarz va hamyon</t>
        </is>
      </c>
      <c r="B33" s="14">
        <f>COUNTIF('Test-keyslar'!$B$2:$B$167,"Qarz va hamyon")</f>
        <v/>
      </c>
      <c r="C33" s="14">
        <f>COUNTIFS('Test-keyslar'!$B$2:$B$167,"Qarz va hamyon",'Test-keyslar'!$E$2:$E$167,"P1")</f>
        <v/>
      </c>
      <c r="D33" s="14">
        <f>COUNTIFS('Test-keyslar'!$B$2:$B$167,"Qarz va hamyon",'Test-keyslar'!$E$2:$E$167,"P2")</f>
        <v/>
      </c>
      <c r="E33" s="14">
        <f>COUNTIFS('Test-keyslar'!$B$2:$B$167,"Qarz va hamyon",'Test-keyslar'!$E$2:$E$167,"P3")</f>
        <v/>
      </c>
      <c r="F33" s="14">
        <f>COUNTIFS('Test-keyslar'!$B$2:$B$167,"Qarz va hamyon",'Test-keyslar'!$L$2:$L$167,"Ha")</f>
        <v/>
      </c>
      <c r="G33" s="14">
        <f>COUNTIFS('Test-keyslar'!$B$2:$B$167,"Qarz va hamyon",'Test-keyslar'!$L$2:$L$167,"Qisman")</f>
        <v/>
      </c>
      <c r="H33" s="14">
        <f>COUNTIFS('Test-keyslar'!$B$2:$B$167,"Qarz va hamyon",'Test-keyslar'!$L$2:$L$167,"Yo'q")</f>
        <v/>
      </c>
      <c r="I33" s="14">
        <f>COUNTIFS('Test-keyslar'!$B$2:$B$167,"Qarz va hamyon",'Test-keyslar'!$N$2:$N$167,"Avtomatlashtirilgan")</f>
        <v/>
      </c>
      <c r="J33" s="15">
        <f>IF(B33=0,0,I33/B33)</f>
        <v/>
      </c>
      <c r="K33" s="14">
        <f>COUNTIFS('Test-keyslar'!$B$2:$B$167,"Qarz va hamyon",'Test-keyslar'!$P$2:$P$167,"Passed")</f>
        <v/>
      </c>
      <c r="L33" s="14">
        <f>COUNTIFS('Test-keyslar'!$B$2:$B$167,"Qarz va hamyon",'Test-keyslar'!$P$2:$P$167,"Failed")</f>
        <v/>
      </c>
      <c r="M33" s="14">
        <f>COUNTIFS('Test-keyslar'!$B$2:$B$167,"Qarz va hamyon",'Test-keyslar'!$P$2:$P$167,"Blocked")</f>
        <v/>
      </c>
      <c r="N33" s="14">
        <f>COUNTIFS('Test-keyslar'!$B$2:$B$167,"Qarz va hamyon",'Test-keyslar'!$P$2:$P$167,"Skipped")</f>
        <v/>
      </c>
      <c r="O33" s="14">
        <f>COUNTIFS('Test-keyslar'!$B$2:$B$167,"Qarz va hamyon",'Test-keyslar'!$P$2:$P$167,"Bajarilmagan")</f>
        <v/>
      </c>
    </row>
    <row r="34">
      <c r="A34" s="10" t="inlineStr">
        <is>
          <t>MSG — Xabarlar (push, chat)</t>
        </is>
      </c>
      <c r="B34" s="11">
        <f>COUNTIF('Test-keyslar'!$B$2:$B$167,"Xabarlar (push, chat)")</f>
        <v/>
      </c>
      <c r="C34" s="11">
        <f>COUNTIFS('Test-keyslar'!$B$2:$B$167,"Xabarlar (push, chat)",'Test-keyslar'!$E$2:$E$167,"P1")</f>
        <v/>
      </c>
      <c r="D34" s="11">
        <f>COUNTIFS('Test-keyslar'!$B$2:$B$167,"Xabarlar (push, chat)",'Test-keyslar'!$E$2:$E$167,"P2")</f>
        <v/>
      </c>
      <c r="E34" s="11">
        <f>COUNTIFS('Test-keyslar'!$B$2:$B$167,"Xabarlar (push, chat)",'Test-keyslar'!$E$2:$E$167,"P3")</f>
        <v/>
      </c>
      <c r="F34" s="11">
        <f>COUNTIFS('Test-keyslar'!$B$2:$B$167,"Xabarlar (push, chat)",'Test-keyslar'!$L$2:$L$167,"Ha")</f>
        <v/>
      </c>
      <c r="G34" s="11">
        <f>COUNTIFS('Test-keyslar'!$B$2:$B$167,"Xabarlar (push, chat)",'Test-keyslar'!$L$2:$L$167,"Qisman")</f>
        <v/>
      </c>
      <c r="H34" s="11">
        <f>COUNTIFS('Test-keyslar'!$B$2:$B$167,"Xabarlar (push, chat)",'Test-keyslar'!$L$2:$L$167,"Yo'q")</f>
        <v/>
      </c>
      <c r="I34" s="11">
        <f>COUNTIFS('Test-keyslar'!$B$2:$B$167,"Xabarlar (push, chat)",'Test-keyslar'!$N$2:$N$167,"Avtomatlashtirilgan")</f>
        <v/>
      </c>
      <c r="J34" s="12">
        <f>IF(B34=0,0,I34/B34)</f>
        <v/>
      </c>
      <c r="K34" s="11">
        <f>COUNTIFS('Test-keyslar'!$B$2:$B$167,"Xabarlar (push, chat)",'Test-keyslar'!$P$2:$P$167,"Passed")</f>
        <v/>
      </c>
      <c r="L34" s="11">
        <f>COUNTIFS('Test-keyslar'!$B$2:$B$167,"Xabarlar (push, chat)",'Test-keyslar'!$P$2:$P$167,"Failed")</f>
        <v/>
      </c>
      <c r="M34" s="11">
        <f>COUNTIFS('Test-keyslar'!$B$2:$B$167,"Xabarlar (push, chat)",'Test-keyslar'!$P$2:$P$167,"Blocked")</f>
        <v/>
      </c>
      <c r="N34" s="11">
        <f>COUNTIFS('Test-keyslar'!$B$2:$B$167,"Xabarlar (push, chat)",'Test-keyslar'!$P$2:$P$167,"Skipped")</f>
        <v/>
      </c>
      <c r="O34" s="11">
        <f>COUNTIFS('Test-keyslar'!$B$2:$B$167,"Xabarlar (push, chat)",'Test-keyslar'!$P$2:$P$167,"Bajarilmagan")</f>
        <v/>
      </c>
    </row>
    <row r="35">
      <c r="A35" s="13" t="inlineStr">
        <is>
          <t>PERM — Ruxsatlar</t>
        </is>
      </c>
      <c r="B35" s="14">
        <f>COUNTIF('Test-keyslar'!$B$2:$B$167,"Ruxsatlar")</f>
        <v/>
      </c>
      <c r="C35" s="14">
        <f>COUNTIFS('Test-keyslar'!$B$2:$B$167,"Ruxsatlar",'Test-keyslar'!$E$2:$E$167,"P1")</f>
        <v/>
      </c>
      <c r="D35" s="14">
        <f>COUNTIFS('Test-keyslar'!$B$2:$B$167,"Ruxsatlar",'Test-keyslar'!$E$2:$E$167,"P2")</f>
        <v/>
      </c>
      <c r="E35" s="14">
        <f>COUNTIFS('Test-keyslar'!$B$2:$B$167,"Ruxsatlar",'Test-keyslar'!$E$2:$E$167,"P3")</f>
        <v/>
      </c>
      <c r="F35" s="14">
        <f>COUNTIFS('Test-keyslar'!$B$2:$B$167,"Ruxsatlar",'Test-keyslar'!$L$2:$L$167,"Ha")</f>
        <v/>
      </c>
      <c r="G35" s="14">
        <f>COUNTIFS('Test-keyslar'!$B$2:$B$167,"Ruxsatlar",'Test-keyslar'!$L$2:$L$167,"Qisman")</f>
        <v/>
      </c>
      <c r="H35" s="14">
        <f>COUNTIFS('Test-keyslar'!$B$2:$B$167,"Ruxsatlar",'Test-keyslar'!$L$2:$L$167,"Yo'q")</f>
        <v/>
      </c>
      <c r="I35" s="14">
        <f>COUNTIFS('Test-keyslar'!$B$2:$B$167,"Ruxsatlar",'Test-keyslar'!$N$2:$N$167,"Avtomatlashtirilgan")</f>
        <v/>
      </c>
      <c r="J35" s="15">
        <f>IF(B35=0,0,I35/B35)</f>
        <v/>
      </c>
      <c r="K35" s="14">
        <f>COUNTIFS('Test-keyslar'!$B$2:$B$167,"Ruxsatlar",'Test-keyslar'!$P$2:$P$167,"Passed")</f>
        <v/>
      </c>
      <c r="L35" s="14">
        <f>COUNTIFS('Test-keyslar'!$B$2:$B$167,"Ruxsatlar",'Test-keyslar'!$P$2:$P$167,"Failed")</f>
        <v/>
      </c>
      <c r="M35" s="14">
        <f>COUNTIFS('Test-keyslar'!$B$2:$B$167,"Ruxsatlar",'Test-keyslar'!$P$2:$P$167,"Blocked")</f>
        <v/>
      </c>
      <c r="N35" s="14">
        <f>COUNTIFS('Test-keyslar'!$B$2:$B$167,"Ruxsatlar",'Test-keyslar'!$P$2:$P$167,"Skipped")</f>
        <v/>
      </c>
      <c r="O35" s="14">
        <f>COUNTIFS('Test-keyslar'!$B$2:$B$167,"Ruxsatlar",'Test-keyslar'!$P$2:$P$167,"Bajarilmagan")</f>
        <v/>
      </c>
    </row>
    <row r="36">
      <c r="A36" s="10" t="inlineStr">
        <is>
          <t>REP — Hisobotlar</t>
        </is>
      </c>
      <c r="B36" s="11">
        <f>COUNTIF('Test-keyslar'!$B$2:$B$167,"Hisobotlar")</f>
        <v/>
      </c>
      <c r="C36" s="11">
        <f>COUNTIFS('Test-keyslar'!$B$2:$B$167,"Hisobotlar",'Test-keyslar'!$E$2:$E$167,"P1")</f>
        <v/>
      </c>
      <c r="D36" s="11">
        <f>COUNTIFS('Test-keyslar'!$B$2:$B$167,"Hisobotlar",'Test-keyslar'!$E$2:$E$167,"P2")</f>
        <v/>
      </c>
      <c r="E36" s="11">
        <f>COUNTIFS('Test-keyslar'!$B$2:$B$167,"Hisobotlar",'Test-keyslar'!$E$2:$E$167,"P3")</f>
        <v/>
      </c>
      <c r="F36" s="11">
        <f>COUNTIFS('Test-keyslar'!$B$2:$B$167,"Hisobotlar",'Test-keyslar'!$L$2:$L$167,"Ha")</f>
        <v/>
      </c>
      <c r="G36" s="11">
        <f>COUNTIFS('Test-keyslar'!$B$2:$B$167,"Hisobotlar",'Test-keyslar'!$L$2:$L$167,"Qisman")</f>
        <v/>
      </c>
      <c r="H36" s="11">
        <f>COUNTIFS('Test-keyslar'!$B$2:$B$167,"Hisobotlar",'Test-keyslar'!$L$2:$L$167,"Yo'q")</f>
        <v/>
      </c>
      <c r="I36" s="11">
        <f>COUNTIFS('Test-keyslar'!$B$2:$B$167,"Hisobotlar",'Test-keyslar'!$N$2:$N$167,"Avtomatlashtirilgan")</f>
        <v/>
      </c>
      <c r="J36" s="12">
        <f>IF(B36=0,0,I36/B36)</f>
        <v/>
      </c>
      <c r="K36" s="11">
        <f>COUNTIFS('Test-keyslar'!$B$2:$B$167,"Hisobotlar",'Test-keyslar'!$P$2:$P$167,"Passed")</f>
        <v/>
      </c>
      <c r="L36" s="11">
        <f>COUNTIFS('Test-keyslar'!$B$2:$B$167,"Hisobotlar",'Test-keyslar'!$P$2:$P$167,"Failed")</f>
        <v/>
      </c>
      <c r="M36" s="11">
        <f>COUNTIFS('Test-keyslar'!$B$2:$B$167,"Hisobotlar",'Test-keyslar'!$P$2:$P$167,"Blocked")</f>
        <v/>
      </c>
      <c r="N36" s="11">
        <f>COUNTIFS('Test-keyslar'!$B$2:$B$167,"Hisobotlar",'Test-keyslar'!$P$2:$P$167,"Skipped")</f>
        <v/>
      </c>
      <c r="O36" s="11">
        <f>COUNTIFS('Test-keyslar'!$B$2:$B$167,"Hisobotlar",'Test-keyslar'!$P$2:$P$167,"Bajarilmagan")</f>
        <v/>
      </c>
    </row>
    <row r="37">
      <c r="A37" s="13" t="inlineStr">
        <is>
          <t>E2E — Admin ↔ vitrina stsenariylari</t>
        </is>
      </c>
      <c r="B37" s="14">
        <f>COUNTIF('Test-keyslar'!$B$2:$B$167,"Admin ↔ vitrina stsenariylari")</f>
        <v/>
      </c>
      <c r="C37" s="14">
        <f>COUNTIFS('Test-keyslar'!$B$2:$B$167,"Admin ↔ vitrina stsenariylari",'Test-keyslar'!$E$2:$E$167,"P1")</f>
        <v/>
      </c>
      <c r="D37" s="14">
        <f>COUNTIFS('Test-keyslar'!$B$2:$B$167,"Admin ↔ vitrina stsenariylari",'Test-keyslar'!$E$2:$E$167,"P2")</f>
        <v/>
      </c>
      <c r="E37" s="14">
        <f>COUNTIFS('Test-keyslar'!$B$2:$B$167,"Admin ↔ vitrina stsenariylari",'Test-keyslar'!$E$2:$E$167,"P3")</f>
        <v/>
      </c>
      <c r="F37" s="14">
        <f>COUNTIFS('Test-keyslar'!$B$2:$B$167,"Admin ↔ vitrina stsenariylari",'Test-keyslar'!$L$2:$L$167,"Ha")</f>
        <v/>
      </c>
      <c r="G37" s="14">
        <f>COUNTIFS('Test-keyslar'!$B$2:$B$167,"Admin ↔ vitrina stsenariylari",'Test-keyslar'!$L$2:$L$167,"Qisman")</f>
        <v/>
      </c>
      <c r="H37" s="14">
        <f>COUNTIFS('Test-keyslar'!$B$2:$B$167,"Admin ↔ vitrina stsenariylari",'Test-keyslar'!$L$2:$L$167,"Yo'q")</f>
        <v/>
      </c>
      <c r="I37" s="14">
        <f>COUNTIFS('Test-keyslar'!$B$2:$B$167,"Admin ↔ vitrina stsenariylari",'Test-keyslar'!$N$2:$N$167,"Avtomatlashtirilgan")</f>
        <v/>
      </c>
      <c r="J37" s="15">
        <f>IF(B37=0,0,I37/B37)</f>
        <v/>
      </c>
      <c r="K37" s="14">
        <f>COUNTIFS('Test-keyslar'!$B$2:$B$167,"Admin ↔ vitrina stsenariylari",'Test-keyslar'!$P$2:$P$167,"Passed")</f>
        <v/>
      </c>
      <c r="L37" s="14">
        <f>COUNTIFS('Test-keyslar'!$B$2:$B$167,"Admin ↔ vitrina stsenariylari",'Test-keyslar'!$P$2:$P$167,"Failed")</f>
        <v/>
      </c>
      <c r="M37" s="14">
        <f>COUNTIFS('Test-keyslar'!$B$2:$B$167,"Admin ↔ vitrina stsenariylari",'Test-keyslar'!$P$2:$P$167,"Blocked")</f>
        <v/>
      </c>
      <c r="N37" s="14">
        <f>COUNTIFS('Test-keyslar'!$B$2:$B$167,"Admin ↔ vitrina stsenariylari",'Test-keyslar'!$P$2:$P$167,"Skipped")</f>
        <v/>
      </c>
      <c r="O37" s="14">
        <f>COUNTIFS('Test-keyslar'!$B$2:$B$167,"Admin ↔ vitrina stsenariylari",'Test-keyslar'!$P$2:$P$167,"Bajarilmagan")</f>
        <v/>
      </c>
    </row>
    <row r="38">
      <c r="A38" s="10" t="inlineStr">
        <is>
          <t>GEN — Interfeysning umumiy tekshiruvlari</t>
        </is>
      </c>
      <c r="B38" s="11">
        <f>COUNTIF('Test-keyslar'!$B$2:$B$167,"Interfeysning umumiy tekshiruvlari")</f>
        <v/>
      </c>
      <c r="C38" s="11">
        <f>COUNTIFS('Test-keyslar'!$B$2:$B$167,"Interfeysning umumiy tekshiruvlari",'Test-keyslar'!$E$2:$E$167,"P1")</f>
        <v/>
      </c>
      <c r="D38" s="11">
        <f>COUNTIFS('Test-keyslar'!$B$2:$B$167,"Interfeysning umumiy tekshiruvlari",'Test-keyslar'!$E$2:$E$167,"P2")</f>
        <v/>
      </c>
      <c r="E38" s="11">
        <f>COUNTIFS('Test-keyslar'!$B$2:$B$167,"Interfeysning umumiy tekshiruvlari",'Test-keyslar'!$E$2:$E$167,"P3")</f>
        <v/>
      </c>
      <c r="F38" s="11">
        <f>COUNTIFS('Test-keyslar'!$B$2:$B$167,"Interfeysning umumiy tekshiruvlari",'Test-keyslar'!$L$2:$L$167,"Ha")</f>
        <v/>
      </c>
      <c r="G38" s="11">
        <f>COUNTIFS('Test-keyslar'!$B$2:$B$167,"Interfeysning umumiy tekshiruvlari",'Test-keyslar'!$L$2:$L$167,"Qisman")</f>
        <v/>
      </c>
      <c r="H38" s="11">
        <f>COUNTIFS('Test-keyslar'!$B$2:$B$167,"Interfeysning umumiy tekshiruvlari",'Test-keyslar'!$L$2:$L$167,"Yo'q")</f>
        <v/>
      </c>
      <c r="I38" s="11">
        <f>COUNTIFS('Test-keyslar'!$B$2:$B$167,"Interfeysning umumiy tekshiruvlari",'Test-keyslar'!$N$2:$N$167,"Avtomatlashtirilgan")</f>
        <v/>
      </c>
      <c r="J38" s="12">
        <f>IF(B38=0,0,I38/B38)</f>
        <v/>
      </c>
      <c r="K38" s="11">
        <f>COUNTIFS('Test-keyslar'!$B$2:$B$167,"Interfeysning umumiy tekshiruvlari",'Test-keyslar'!$P$2:$P$167,"Passed")</f>
        <v/>
      </c>
      <c r="L38" s="11">
        <f>COUNTIFS('Test-keyslar'!$B$2:$B$167,"Interfeysning umumiy tekshiruvlari",'Test-keyslar'!$P$2:$P$167,"Failed")</f>
        <v/>
      </c>
      <c r="M38" s="11">
        <f>COUNTIFS('Test-keyslar'!$B$2:$B$167,"Interfeysning umumiy tekshiruvlari",'Test-keyslar'!$P$2:$P$167,"Blocked")</f>
        <v/>
      </c>
      <c r="N38" s="11">
        <f>COUNTIFS('Test-keyslar'!$B$2:$B$167,"Interfeysning umumiy tekshiruvlari",'Test-keyslar'!$P$2:$P$167,"Skipped")</f>
        <v/>
      </c>
      <c r="O38" s="11">
        <f>COUNTIFS('Test-keyslar'!$B$2:$B$167,"Interfeysning umumiy tekshiruvlari",'Test-keyslar'!$P$2:$P$167,"Bajarilmagan")</f>
        <v/>
      </c>
    </row>
    <row r="39">
      <c r="A39" s="16" t="inlineStr">
        <is>
          <t>JAMI</t>
        </is>
      </c>
      <c r="B39" s="17">
        <f>SUM(B14:B38)</f>
        <v/>
      </c>
      <c r="C39" s="17">
        <f>SUM(C14:C38)</f>
        <v/>
      </c>
      <c r="D39" s="17">
        <f>SUM(D14:D38)</f>
        <v/>
      </c>
      <c r="E39" s="17">
        <f>SUM(E14:E38)</f>
        <v/>
      </c>
      <c r="F39" s="17">
        <f>SUM(F14:F38)</f>
        <v/>
      </c>
      <c r="G39" s="17">
        <f>SUM(G14:G38)</f>
        <v/>
      </c>
      <c r="H39" s="17">
        <f>SUM(H14:H38)</f>
        <v/>
      </c>
      <c r="I39" s="17">
        <f>SUM(I14:I38)</f>
        <v/>
      </c>
      <c r="J39" s="18">
        <f>IF(B39=0,0,I39/B39)</f>
        <v/>
      </c>
      <c r="K39" s="17">
        <f>SUM(K14:K38)</f>
        <v/>
      </c>
      <c r="L39" s="17">
        <f>SUM(L14:L38)</f>
        <v/>
      </c>
      <c r="M39" s="17">
        <f>SUM(M14:M38)</f>
        <v/>
      </c>
      <c r="N39" s="17">
        <f>SUM(N14:N38)</f>
        <v/>
      </c>
      <c r="O39" s="17">
        <f>SUM(O14:O38)</f>
        <v/>
      </c>
    </row>
    <row r="40"/>
    <row r="41">
      <c r="A41" s="8" t="inlineStr">
        <is>
          <t>Izohlar</t>
        </is>
      </c>
    </row>
    <row r="42">
      <c r="A42" s="19" t="inlineStr">
        <is>
          <t>P1 — kritik</t>
        </is>
      </c>
      <c r="B42" s="4" t="inlineStr">
        <is>
          <t>Relizni bloklaydi. Smoke-to'plam: har doim bajariladi.</t>
        </is>
      </c>
    </row>
    <row r="43">
      <c r="A43" s="20" t="inlineStr">
        <is>
          <t>P2 — yuqori</t>
        </is>
      </c>
      <c r="B43" s="4" t="inlineStr">
        <is>
          <t>Muhim funksional, to'liq regressda bajariladi.</t>
        </is>
      </c>
    </row>
    <row r="44">
      <c r="A44" s="21" t="inlineStr">
        <is>
          <t>P3 — o'rta</t>
        </is>
      </c>
      <c r="B44" s="4" t="inlineStr">
        <is>
          <t>UI/ikkinchi darajali, vaqt yetmasa keyinga qoldirish mumkin.</t>
        </is>
      </c>
    </row>
    <row r="45">
      <c r="A45" s="22" t="inlineStr">
        <is>
          <t>Avtomatlashtirish: Ha</t>
        </is>
      </c>
      <c r="B45" s="4" t="inlineStr">
        <is>
          <t>Stsenariy barqaror va UI orqali to'liq tekshiriladi (Playwright).</t>
        </is>
      </c>
    </row>
    <row r="46">
      <c r="A46" s="23" t="inlineStr">
        <is>
          <t>Avtomatlashtirish: Qisman</t>
        </is>
      </c>
      <c r="B46" s="4" t="inlineStr">
        <is>
          <t>SMS/OTP, ma'lumot tayyorlash uchun admin panel/API yoki vizual baho kerak.</t>
        </is>
      </c>
    </row>
    <row r="47">
      <c r="A47" s="19" t="inlineStr">
        <is>
          <t>Avtomatlashtirish: Yo'q</t>
        </is>
      </c>
      <c r="B47" s="4" t="inlineStr">
        <is>
          <t>Haqiqiy qurilma kerak yoki destruktiv — faqat qo'lda.</t>
        </is>
      </c>
    </row>
    <row r="48">
      <c r="A48" s="24" t="inlineStr">
        <is>
          <t>Holat: Avtomatlashtirilgan</t>
        </is>
      </c>
      <c r="B48" s="4" t="inlineStr">
        <is>
          <t>aros-ui repozitoriyasida avtotest bor («Avtotest» ustuni).</t>
        </is>
      </c>
    </row>
    <row r="49">
      <c r="A49" s="25" t="inlineStr">
        <is>
          <t>Progon natijasi</t>
        </is>
      </c>
      <c r="B49" s="4" t="inlineStr">
        <is>
          <t>Ro'yxatdan tanlanadi: Passed / Failed / Blocked / Skipped / Bajarilmagan.</t>
        </is>
      </c>
    </row>
    <row r="50">
      <c r="A50" s="25" t="inlineStr">
        <is>
          <t>Turi</t>
        </is>
      </c>
      <c r="B50" s="4" t="inlineStr">
        <is>
          <t>Smoke, Functional, Negative, UI, Security, Integration, Technical, Non-functional.</t>
        </is>
      </c>
    </row>
    <row r="51">
      <c r="A51" s="25" t="inlineStr">
        <is>
          <t>Talab / manba</t>
        </is>
      </c>
      <c r="B51" s="4" t="inlineStr">
        <is>
          <t>Confluence dagi PRD («Manbalar» varag'i) yoki «staging'da tekshirilgan». Integration — admin panelda qadam kerak.</t>
        </is>
      </c>
    </row>
  </sheetData>
  <mergeCells count="19">
    <mergeCell ref="B9:H9"/>
    <mergeCell ref="B47:O47"/>
    <mergeCell ref="B6:H6"/>
    <mergeCell ref="B46:O46"/>
    <mergeCell ref="B5:H5"/>
    <mergeCell ref="B43:O43"/>
    <mergeCell ref="B4:H4"/>
    <mergeCell ref="B48:O48"/>
    <mergeCell ref="B7:H7"/>
    <mergeCell ref="B42:O42"/>
    <mergeCell ref="B44:O44"/>
    <mergeCell ref="B11:H11"/>
    <mergeCell ref="B8:H8"/>
    <mergeCell ref="B49:O49"/>
    <mergeCell ref="A1:O1"/>
    <mergeCell ref="B51:O51"/>
    <mergeCell ref="B10:H10"/>
    <mergeCell ref="B45:O45"/>
    <mergeCell ref="B50:O50"/>
  </mergeCells>
  <conditionalFormatting sqref="J14:J38">
    <cfRule type="expression" priority="1" dxfId="0">
      <formula>J14&gt;=0.5</formula>
    </cfRule>
  </conditionalFormatting>
  <conditionalFormatting sqref="L14:L39">
    <cfRule type="expression" priority="2" dxfId="1">
      <formula>L14&gt;0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6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38" customWidth="1" min="4" max="4"/>
    <col width="11" customWidth="1" min="5" max="5"/>
    <col width="13" customWidth="1" min="6" max="6"/>
    <col width="28" customWidth="1" min="7" max="7"/>
    <col width="50" customWidth="1" min="8" max="8"/>
    <col width="22" customWidth="1" min="9" max="9"/>
    <col width="48" customWidth="1" min="10" max="10"/>
    <col width="26" customWidth="1" min="11" max="11"/>
    <col width="16" customWidth="1" min="12" max="12"/>
    <col width="30" customWidth="1" min="13" max="13"/>
    <col width="19" customWidth="1" min="14" max="14"/>
    <col width="34" customWidth="1" min="15" max="15"/>
    <col width="14" customWidth="1" min="16" max="16"/>
    <col width="30" customWidth="1" min="17" max="17"/>
  </cols>
  <sheetData>
    <row r="1" ht="42" customHeight="1">
      <c r="A1" s="9" t="inlineStr">
        <is>
          <t>ID</t>
        </is>
      </c>
      <c r="B1" s="9" t="inlineStr">
        <is>
          <t>Modul</t>
        </is>
      </c>
      <c r="C1" s="9" t="inlineStr">
        <is>
          <t>Submodul</t>
        </is>
      </c>
      <c r="D1" s="9" t="inlineStr">
        <is>
          <t>Test-keys nomi</t>
        </is>
      </c>
      <c r="E1" s="9" t="inlineStr">
        <is>
          <t>Ustuvorlik</t>
        </is>
      </c>
      <c r="F1" s="9" t="inlineStr">
        <is>
          <t>Turi</t>
        </is>
      </c>
      <c r="G1" s="9" t="inlineStr">
        <is>
          <t>Dastlabki shartlar</t>
        </is>
      </c>
      <c r="H1" s="9" t="inlineStr">
        <is>
          <t>Qadamlar</t>
        </is>
      </c>
      <c r="I1" s="9" t="inlineStr">
        <is>
          <t>Test ma'lumotlari</t>
        </is>
      </c>
      <c r="J1" s="9" t="inlineStr">
        <is>
          <t>Kutilgan natija</t>
        </is>
      </c>
      <c r="K1" s="9" t="inlineStr">
        <is>
          <t>Talab / manba</t>
        </is>
      </c>
      <c r="L1" s="9" t="inlineStr">
        <is>
          <t>Avtomatlashtirish mumkinmi (UI)</t>
        </is>
      </c>
      <c r="M1" s="9" t="inlineStr">
        <is>
          <t>Avtomatlashtirish bo'yicha izoh</t>
        </is>
      </c>
      <c r="N1" s="9" t="inlineStr">
        <is>
          <t>UI-avtomatlashtirish holati</t>
        </is>
      </c>
      <c r="O1" s="9" t="inlineStr">
        <is>
          <t>Avtotest (klass#metod)</t>
        </is>
      </c>
      <c r="P1" s="9" t="inlineStr">
        <is>
          <t>Progon natijasi</t>
        </is>
      </c>
      <c r="Q1" s="9" t="inlineStr">
        <is>
          <t>Izoh / bagga havola</t>
        </is>
      </c>
    </row>
    <row r="2" ht="48" customHeight="1">
      <c r="A2" s="26" t="inlineStr">
        <is>
          <t>AUTH-001</t>
        </is>
      </c>
      <c r="B2" s="27" t="inlineStr">
        <is>
          <t>Avtorizatsiya va ruxsat</t>
        </is>
      </c>
      <c r="C2" s="27" t="inlineStr">
        <is>
          <t>Kirish</t>
        </is>
      </c>
      <c r="D2" s="28" t="inlineStr">
        <is>
          <t>Admin panelga muvaffaqiyatli kirish</t>
        </is>
      </c>
      <c r="E2" s="29" t="inlineStr">
        <is>
          <t>P1</t>
        </is>
      </c>
      <c r="F2" s="29" t="inlineStr">
        <is>
          <t>Smoke</t>
        </is>
      </c>
      <c r="G2" s="27" t="inlineStr">
        <is>
          <t>Foydalanuvchi tizimga kirmagan</t>
        </is>
      </c>
      <c r="H2" s="27" t="inlineStr">
        <is>
          <t>1. https://staging-admin.aros.uz ni ochish
2. Username va parolni kiritish
3. «Login»ni bosish</t>
        </is>
      </c>
      <c r="I2" s="27" t="inlineStr">
        <is>
          <t>+998998987882 / &lt;пароль в .env&gt;</t>
        </is>
      </c>
      <c r="J2" s="27" t="inlineStr">
        <is>
          <t>Bosh sahifa ochiladi, yuqorida foydalanuvchi avatari, «Successfully completed» xabari</t>
        </is>
      </c>
      <c r="K2" s="27" t="inlineStr">
        <is>
          <t>Staging admin panel, 28.10.2026</t>
        </is>
      </c>
      <c r="L2" s="29" t="inlineStr">
        <is>
          <t>Ha</t>
        </is>
      </c>
      <c r="M2" s="27" t="inlineStr">
        <is>
          <t>.env da ADMIN_USERNAME/ADMIN_PASSWORD bo'lmasa test o'tkazib yuboriladi</t>
        </is>
      </c>
      <c r="N2" s="29" t="inlineStr">
        <is>
          <t>Avtomatlashtirilgan</t>
        </is>
      </c>
      <c r="O2" s="27" t="inlineStr">
        <is>
          <t>admin/AdminLoginTest#successfulLogin</t>
        </is>
      </c>
      <c r="P2" s="29" t="inlineStr">
        <is>
          <t>Bajarilmagan</t>
        </is>
      </c>
      <c r="Q2" s="27" t="inlineStr"/>
    </row>
    <row r="3" ht="34" customHeight="1">
      <c r="A3" s="26" t="inlineStr">
        <is>
          <t>AUTH-002</t>
        </is>
      </c>
      <c r="B3" s="27" t="inlineStr">
        <is>
          <t>Avtorizatsiya va ruxsat</t>
        </is>
      </c>
      <c r="C3" s="27" t="inlineStr">
        <is>
          <t>Kirish</t>
        </is>
      </c>
      <c r="D3" s="28" t="inlineStr">
        <is>
          <t>Noto'g'ri parol bilan kirish</t>
        </is>
      </c>
      <c r="E3" s="29" t="inlineStr">
        <is>
          <t>P1</t>
        </is>
      </c>
      <c r="F3" s="29" t="inlineStr">
        <is>
          <t>Negative</t>
        </is>
      </c>
      <c r="G3" s="27" t="inlineStr">
        <is>
          <t>Foydalanuvchi tizimga kirmagan</t>
        </is>
      </c>
      <c r="H3" s="27" t="inlineStr">
        <is>
          <t>1. To'g'ri username va noto'g'ri parol kiritish
2. «Login»</t>
        </is>
      </c>
      <c r="I3" s="27" t="inlineStr"/>
      <c r="J3" s="27" t="inlineStr">
        <is>
          <t>Avtorizatsiya xatosi, kirish formasi qoladi, sahifalarga kirish yo'q</t>
        </is>
      </c>
      <c r="K3" s="27" t="inlineStr"/>
      <c r="L3" s="29" t="inlineStr">
        <is>
          <t>Ha</t>
        </is>
      </c>
      <c r="M3" s="27" t="inlineStr">
        <is>
          <t>.env da ADMIN_* kerak</t>
        </is>
      </c>
      <c r="N3" s="29" t="inlineStr">
        <is>
          <t>Avtomatlashtirilgan</t>
        </is>
      </c>
      <c r="O3" s="27" t="inlineStr">
        <is>
          <t>admin/AdminLoginTest#loginFailsWithWrongPassword</t>
        </is>
      </c>
      <c r="P3" s="29" t="inlineStr">
        <is>
          <t>Bajarilmagan</t>
        </is>
      </c>
      <c r="Q3" s="27" t="inlineStr"/>
    </row>
    <row r="4" ht="34" customHeight="1">
      <c r="A4" s="26" t="inlineStr">
        <is>
          <t>AUTH-003</t>
        </is>
      </c>
      <c r="B4" s="27" t="inlineStr">
        <is>
          <t>Avtorizatsiya va ruxsat</t>
        </is>
      </c>
      <c r="C4" s="27" t="inlineStr">
        <is>
          <t>Kirish</t>
        </is>
      </c>
      <c r="D4" s="28" t="inlineStr">
        <is>
          <t>Bo'sh maydonlar bilan kirish</t>
        </is>
      </c>
      <c r="E4" s="29" t="inlineStr">
        <is>
          <t>P2</t>
        </is>
      </c>
      <c r="F4" s="29" t="inlineStr">
        <is>
          <t>Negative</t>
        </is>
      </c>
      <c r="G4" s="27" t="inlineStr">
        <is>
          <t>Foydalanuvchi tizimga kirmagan</t>
        </is>
      </c>
      <c r="H4" s="27" t="inlineStr">
        <is>
          <t>1. Bo'sh maydonlar bilan «Login»ni bosish
2. Faqat username ni to'ldirish</t>
        </is>
      </c>
      <c r="I4" s="27" t="inlineStr"/>
      <c r="J4" s="27" t="inlineStr">
        <is>
          <t>Majburiy maydonlar validatsiyasi, so'rov yuborilmaydi</t>
        </is>
      </c>
      <c r="K4" s="27" t="inlineStr"/>
      <c r="L4" s="29" t="inlineStr">
        <is>
          <t>Ha</t>
        </is>
      </c>
      <c r="M4" s="27" t="inlineStr"/>
      <c r="N4" s="29" t="inlineStr">
        <is>
          <t>Avtomatlashtirilmagan</t>
        </is>
      </c>
      <c r="O4" s="27" t="inlineStr"/>
      <c r="P4" s="29" t="inlineStr">
        <is>
          <t>Bajarilmagan</t>
        </is>
      </c>
      <c r="Q4" s="27" t="inlineStr"/>
    </row>
    <row r="5" ht="34" customHeight="1">
      <c r="A5" s="26" t="inlineStr">
        <is>
          <t>AUTH-004</t>
        </is>
      </c>
      <c r="B5" s="27" t="inlineStr">
        <is>
          <t>Avtorizatsiya va ruxsat</t>
        </is>
      </c>
      <c r="C5" s="27" t="inlineStr">
        <is>
          <t>Kirish</t>
        </is>
      </c>
      <c r="D5" s="28" t="inlineStr">
        <is>
          <t>Parolni yashirish</t>
        </is>
      </c>
      <c r="E5" s="29" t="inlineStr">
        <is>
          <t>P3</t>
        </is>
      </c>
      <c r="F5" s="29" t="inlineStr">
        <is>
          <t>UI</t>
        </is>
      </c>
      <c r="G5" s="27" t="inlineStr">
        <is>
          <t>Kirish sahifasi ochiq</t>
        </is>
      </c>
      <c r="H5" s="27" t="inlineStr">
        <is>
          <t>1. Parol kiritish
2. Ko'z belgisini bosish</t>
        </is>
      </c>
      <c r="I5" s="27" t="inlineStr"/>
      <c r="J5" s="27" t="inlineStr">
        <is>
          <t>Parol odatda yashirin; belgi uni ko'rsatadi/yashiradi</t>
        </is>
      </c>
      <c r="K5" s="27" t="inlineStr"/>
      <c r="L5" s="29" t="inlineStr">
        <is>
          <t>Ha</t>
        </is>
      </c>
      <c r="M5" s="27" t="inlineStr"/>
      <c r="N5" s="29" t="inlineStr">
        <is>
          <t>Avtomatlashtirilmagan</t>
        </is>
      </c>
      <c r="O5" s="27" t="inlineStr"/>
      <c r="P5" s="29" t="inlineStr">
        <is>
          <t>Bajarilmagan</t>
        </is>
      </c>
      <c r="Q5" s="27" t="inlineStr"/>
    </row>
    <row r="6" ht="34" customHeight="1">
      <c r="A6" s="26" t="inlineStr">
        <is>
          <t>AUTH-005</t>
        </is>
      </c>
      <c r="B6" s="27" t="inlineStr">
        <is>
          <t>Avtorizatsiya va ruxsat</t>
        </is>
      </c>
      <c r="C6" s="27" t="inlineStr">
        <is>
          <t>Kirish</t>
        </is>
      </c>
      <c r="D6" s="28" t="inlineStr">
        <is>
          <t>«Forgot password?»</t>
        </is>
      </c>
      <c r="E6" s="29" t="inlineStr">
        <is>
          <t>P3</t>
        </is>
      </c>
      <c r="F6" s="29" t="inlineStr">
        <is>
          <t>Functional</t>
        </is>
      </c>
      <c r="G6" s="27" t="inlineStr">
        <is>
          <t>Kirish sahifasi ochiq</t>
        </is>
      </c>
      <c r="H6" s="27" t="inlineStr">
        <is>
          <t>1. «Forgot password?»ni bosish</t>
        </is>
      </c>
      <c r="I6" s="27" t="inlineStr"/>
      <c r="J6" s="27" t="inlineStr">
        <is>
          <t>/forgot-password ochiladi, tiklash formasi ishlaydi</t>
        </is>
      </c>
      <c r="K6" s="27" t="inlineStr"/>
      <c r="L6" s="29" t="inlineStr">
        <is>
          <t>Qisman</t>
        </is>
      </c>
      <c r="M6" s="27" t="inlineStr">
        <is>
          <t>SMS/OTP ga bog'liq</t>
        </is>
      </c>
      <c r="N6" s="29" t="inlineStr">
        <is>
          <t>Avtomatlashtirilmagan</t>
        </is>
      </c>
      <c r="O6" s="27" t="inlineStr"/>
      <c r="P6" s="29" t="inlineStr">
        <is>
          <t>Bajarilmagan</t>
        </is>
      </c>
      <c r="Q6" s="27" t="inlineStr"/>
    </row>
    <row r="7" ht="34" customHeight="1">
      <c r="A7" s="26" t="inlineStr">
        <is>
          <t>AUTH-006</t>
        </is>
      </c>
      <c r="B7" s="27" t="inlineStr">
        <is>
          <t>Avtorizatsiya va ruxsat</t>
        </is>
      </c>
      <c r="C7" s="27" t="inlineStr">
        <is>
          <t>Sessiya</t>
        </is>
      </c>
      <c r="D7" s="28" t="inlineStr">
        <is>
          <t>Avtorizatsiyasiz to'g'ridan-to'g'ri URL</t>
        </is>
      </c>
      <c r="E7" s="29" t="inlineStr">
        <is>
          <t>P1</t>
        </is>
      </c>
      <c r="F7" s="29" t="inlineStr">
        <is>
          <t>Security</t>
        </is>
      </c>
      <c r="G7" s="27" t="inlineStr">
        <is>
          <t>Foydalanuvchi tizimga kirmagan</t>
        </is>
      </c>
      <c r="H7" s="27" t="inlineStr">
        <is>
          <t>1. /orders/orders-list, /users/user ni to'g'ridan-to'g'ri ochish</t>
        </is>
      </c>
      <c r="I7" s="27" t="inlineStr"/>
      <c r="J7" s="27" t="inlineStr">
        <is>
          <t>/sign-in ga yo'naltiriladi, ma'lumotlar ko'rinmaydi</t>
        </is>
      </c>
      <c r="K7" s="27" t="inlineStr"/>
      <c r="L7" s="29" t="inlineStr">
        <is>
          <t>Ha</t>
        </is>
      </c>
      <c r="M7" s="27" t="inlineStr"/>
      <c r="N7" s="29" t="inlineStr">
        <is>
          <t>Avtomatlashtirilmagan</t>
        </is>
      </c>
      <c r="O7" s="27" t="inlineStr"/>
      <c r="P7" s="29" t="inlineStr">
        <is>
          <t>Bajarilmagan</t>
        </is>
      </c>
      <c r="Q7" s="27" t="inlineStr"/>
    </row>
    <row r="8" ht="48" customHeight="1">
      <c r="A8" s="26" t="inlineStr">
        <is>
          <t>AUTH-007</t>
        </is>
      </c>
      <c r="B8" s="27" t="inlineStr">
        <is>
          <t>Avtorizatsiya va ruxsat</t>
        </is>
      </c>
      <c r="C8" s="27" t="inlineStr">
        <is>
          <t>Sessiya</t>
        </is>
      </c>
      <c r="D8" s="28" t="inlineStr">
        <is>
          <t>Sahifa yangilanganda sessiya saqlanadi</t>
        </is>
      </c>
      <c r="E8" s="29" t="inlineStr">
        <is>
          <t>P2</t>
        </is>
      </c>
      <c r="F8" s="29" t="inlineStr">
        <is>
          <t>Functional</t>
        </is>
      </c>
      <c r="G8" s="27" t="inlineStr">
        <is>
          <t>Admin panelga test akkaunti bilan kirilgan (to'liq huquqlar)</t>
        </is>
      </c>
      <c r="H8" s="27" t="inlineStr">
        <is>
          <t>1. Sahifani yangilash
2. Yangi tabda ochish</t>
        </is>
      </c>
      <c r="I8" s="27" t="inlineStr"/>
      <c r="J8" s="27" t="inlineStr">
        <is>
          <t>Foydalanuvchi tizimda qoladi</t>
        </is>
      </c>
      <c r="K8" s="27" t="inlineStr"/>
      <c r="L8" s="29" t="inlineStr">
        <is>
          <t>Ha</t>
        </is>
      </c>
      <c r="M8" s="27" t="inlineStr"/>
      <c r="N8" s="29" t="inlineStr">
        <is>
          <t>Avtomatlashtirilmagan</t>
        </is>
      </c>
      <c r="O8" s="27" t="inlineStr"/>
      <c r="P8" s="29" t="inlineStr">
        <is>
          <t>Bajarilmagan</t>
        </is>
      </c>
      <c r="Q8" s="27" t="inlineStr"/>
    </row>
    <row r="9" ht="48" customHeight="1">
      <c r="A9" s="26" t="inlineStr">
        <is>
          <t>AUTH-008</t>
        </is>
      </c>
      <c r="B9" s="27" t="inlineStr">
        <is>
          <t>Avtorizatsiya va ruxsat</t>
        </is>
      </c>
      <c r="C9" s="27" t="inlineStr">
        <is>
          <t>Sessiya</t>
        </is>
      </c>
      <c r="D9" s="28" t="inlineStr">
        <is>
          <t>Admin paneldan chiqish</t>
        </is>
      </c>
      <c r="E9" s="29" t="inlineStr">
        <is>
          <t>P1</t>
        </is>
      </c>
      <c r="F9" s="29" t="inlineStr">
        <is>
          <t>Smoke</t>
        </is>
      </c>
      <c r="G9" s="27" t="inlineStr">
        <is>
          <t>Admin panelga test akkaunti bilan kirilgan (to'liq huquqlar)</t>
        </is>
      </c>
      <c r="H9" s="27" t="inlineStr">
        <is>
          <t>1. Avatar menyusi → Logout</t>
        </is>
      </c>
      <c r="I9" s="27" t="inlineStr"/>
      <c r="J9" s="27" t="inlineStr">
        <is>
          <t>Sessiya tugaydi, /sign-in ga yo'naltiriladi; brauzerda «Orqaga» ma'lumotlarni ochmaydi</t>
        </is>
      </c>
      <c r="K9" s="27" t="inlineStr"/>
      <c r="L9" s="29" t="inlineStr">
        <is>
          <t>Ha</t>
        </is>
      </c>
      <c r="M9" s="27" t="inlineStr"/>
      <c r="N9" s="29" t="inlineStr">
        <is>
          <t>Avtomatlashtirilmagan</t>
        </is>
      </c>
      <c r="O9" s="27" t="inlineStr"/>
      <c r="P9" s="29" t="inlineStr">
        <is>
          <t>Bajarilmagan</t>
        </is>
      </c>
      <c r="Q9" s="27" t="inlineStr"/>
    </row>
    <row r="10" ht="34" customHeight="1">
      <c r="A10" s="26" t="inlineStr">
        <is>
          <t>AUTH-009</t>
        </is>
      </c>
      <c r="B10" s="27" t="inlineStr">
        <is>
          <t>Avtorizatsiya va ruxsat</t>
        </is>
      </c>
      <c r="C10" s="27" t="inlineStr">
        <is>
          <t>Ruxsat</t>
        </is>
      </c>
      <c r="D10" s="28" t="inlineStr">
        <is>
          <t>Admin panelga ruxsati yo'q foydalanuvchi (mijoz)</t>
        </is>
      </c>
      <c r="E10" s="29" t="inlineStr">
        <is>
          <t>P2</t>
        </is>
      </c>
      <c r="F10" s="29" t="inlineStr">
        <is>
          <t>Security</t>
        </is>
      </c>
      <c r="G10" s="27" t="inlineStr">
        <is>
          <t>Xodim roli yo'q mijoz akkaunti</t>
        </is>
      </c>
      <c r="H10" s="27" t="inlineStr">
        <is>
          <t>1. Admin panelga mijoz akkaunti bilan kirish</t>
        </is>
      </c>
      <c r="I10" s="27" t="inlineStr"/>
      <c r="J10" s="27" t="inlineStr">
        <is>
          <t>Kirish taqiqlanadi yoki birorta modul ko'rinmaydi</t>
        </is>
      </c>
      <c r="K10" s="27" t="inlineStr"/>
      <c r="L10" s="29" t="inlineStr">
        <is>
          <t>Qisman</t>
        </is>
      </c>
      <c r="M10" s="27" t="inlineStr">
        <is>
          <t>Huquqsiz akkaunt kerak</t>
        </is>
      </c>
      <c r="N10" s="29" t="inlineStr">
        <is>
          <t>Avtomatlashtirilmagan</t>
        </is>
      </c>
      <c r="O10" s="27" t="inlineStr"/>
      <c r="P10" s="29" t="inlineStr">
        <is>
          <t>Bajarilmagan</t>
        </is>
      </c>
      <c r="Q10" s="27" t="inlineStr"/>
    </row>
    <row r="11" ht="76" customHeight="1">
      <c r="A11" s="30" t="inlineStr">
        <is>
          <t>DASH-001</t>
        </is>
      </c>
      <c r="B11" s="31" t="inlineStr">
        <is>
          <t>Bosh sahifa (Dashboard)</t>
        </is>
      </c>
      <c r="C11" s="31" t="inlineStr">
        <is>
          <t>Filial limiti</t>
        </is>
      </c>
      <c r="D11" s="32" t="inlineStr">
        <is>
          <t>«Filial qarz limiti» bloki</t>
        </is>
      </c>
      <c r="E11" s="33" t="inlineStr">
        <is>
          <t>P2</t>
        </is>
      </c>
      <c r="F11" s="33" t="inlineStr">
        <is>
          <t>Functional</t>
        </is>
      </c>
      <c r="G11" s="31" t="inlineStr">
        <is>
          <t>Admin panelga test akkaunti bilan kirilgan (to'liq huquqlar)</t>
        </is>
      </c>
      <c r="H11" s="31" t="inlineStr">
        <is>
          <t>1. Bosh sahifani ochish
2. Filial tablarini almashtirish</t>
        </is>
      </c>
      <c r="I11" s="31" t="inlineStr"/>
      <c r="J11" s="31" t="inlineStr">
        <is>
          <t>Kartalar: umumiy limit, limitli filiallar qarzi, limitdan oshganlar, limitga yaqin (80–100%), limitsiz filiallar; filial bo'yicha: limit, joriy qarz, qolgan, bandlik %; «Ro'yxatga o'tish» → /debt/warehouse-debt-limits</t>
        </is>
      </c>
      <c r="K11" s="31" t="inlineStr">
        <is>
          <t>PRD Filial qarz limiti</t>
        </is>
      </c>
      <c r="L11" s="33" t="inlineStr">
        <is>
          <t>Ha</t>
        </is>
      </c>
      <c r="M11" s="31" t="inlineStr"/>
      <c r="N11" s="33" t="inlineStr">
        <is>
          <t>Avtomatlashtirilmagan</t>
        </is>
      </c>
      <c r="O11" s="31" t="inlineStr"/>
      <c r="P11" s="33" t="inlineStr">
        <is>
          <t>Bajarilmagan</t>
        </is>
      </c>
      <c r="Q11" s="31" t="inlineStr"/>
    </row>
    <row r="12" ht="48" customHeight="1">
      <c r="A12" s="30" t="inlineStr">
        <is>
          <t>DASH-002</t>
        </is>
      </c>
      <c r="B12" s="31" t="inlineStr">
        <is>
          <t>Bosh sahifa (Dashboard)</t>
        </is>
      </c>
      <c r="C12" s="31" t="inlineStr">
        <is>
          <t>Kassa</t>
        </is>
      </c>
      <c r="D12" s="32" t="inlineStr">
        <is>
          <t>«Kassa hisoboti» bloki: tablar va «Yangilash»</t>
        </is>
      </c>
      <c r="E12" s="33" t="inlineStr">
        <is>
          <t>P2</t>
        </is>
      </c>
      <c r="F12" s="33" t="inlineStr">
        <is>
          <t>Functional</t>
        </is>
      </c>
      <c r="G12" s="31" t="inlineStr">
        <is>
          <t>Admin panelga test akkaunti bilan kirilgan (to'liq huquqlar)</t>
        </is>
      </c>
      <c r="H12" s="31" t="inlineStr">
        <is>
          <t>1. Ombor tabini tanlash
2. «Yangilash»ni bosish</t>
        </is>
      </c>
      <c r="I12" s="31" t="inlineStr"/>
      <c r="J12" s="31" t="inlineStr">
        <is>
          <t>Faqat tanlangan ombor hisoblanadi; ma'lumot faqat «Yangilash» bosilganda qayta hisoblanadi; xato bo'lsa eski holat xabar bilan qoladi; vaqt yangilanadi</t>
        </is>
      </c>
      <c r="K12" s="31" t="inlineStr">
        <is>
          <t>PRD Bosh sahifa — Kassa bloki</t>
        </is>
      </c>
      <c r="L12" s="33" t="inlineStr">
        <is>
          <t>Qisman</t>
        </is>
      </c>
      <c r="M12" s="31" t="inlineStr">
        <is>
          <t>Summalarni kassa hisoboti bilan solishtirish</t>
        </is>
      </c>
      <c r="N12" s="33" t="inlineStr">
        <is>
          <t>Avtomatlashtirilmagan</t>
        </is>
      </c>
      <c r="O12" s="31" t="inlineStr"/>
      <c r="P12" s="33" t="inlineStr">
        <is>
          <t>Bajarilmagan</t>
        </is>
      </c>
      <c r="Q12" s="31" t="inlineStr"/>
    </row>
    <row r="13" ht="48" customHeight="1">
      <c r="A13" s="30" t="inlineStr">
        <is>
          <t>DASH-003</t>
        </is>
      </c>
      <c r="B13" s="31" t="inlineStr">
        <is>
          <t>Bosh sahifa (Dashboard)</t>
        </is>
      </c>
      <c r="C13" s="31" t="inlineStr">
        <is>
          <t>Reyting</t>
        </is>
      </c>
      <c r="D13" s="32" t="inlineStr">
        <is>
          <t>Omborlar reytingi bloki</t>
        </is>
      </c>
      <c r="E13" s="33" t="inlineStr">
        <is>
          <t>P3</t>
        </is>
      </c>
      <c r="F13" s="33" t="inlineStr">
        <is>
          <t>UI</t>
        </is>
      </c>
      <c r="G13" s="31" t="inlineStr">
        <is>
          <t>Admin panelga test akkaunti bilan kirilgan (to'liq huquqlar)</t>
        </is>
      </c>
      <c r="H13" s="31" t="inlineStr">
        <is>
          <t>1. Bosh sahifani pastga aylantirish
2. «Barchasi»ni bosish</t>
        </is>
      </c>
      <c r="I13" s="31" t="inlineStr"/>
      <c r="J13" s="31" t="inlineStr">
        <is>
          <t>Blok ko'rinadi; «Barchasi» → /warehouse/warehouse-rating</t>
        </is>
      </c>
      <c r="K13" s="31" t="inlineStr"/>
      <c r="L13" s="33" t="inlineStr">
        <is>
          <t>Ha</t>
        </is>
      </c>
      <c r="M13" s="31" t="inlineStr"/>
      <c r="N13" s="33" t="inlineStr">
        <is>
          <t>Avtomatlashtirilmagan</t>
        </is>
      </c>
      <c r="O13" s="31" t="inlineStr"/>
      <c r="P13" s="33" t="inlineStr">
        <is>
          <t>Bajarilmagan</t>
        </is>
      </c>
      <c r="Q13" s="31" t="inlineStr"/>
    </row>
    <row r="14" ht="34" customHeight="1">
      <c r="A14" s="30" t="inlineStr">
        <is>
          <t>DASH-004</t>
        </is>
      </c>
      <c r="B14" s="31" t="inlineStr">
        <is>
          <t>Bosh sahifa (Dashboard)</t>
        </is>
      </c>
      <c r="C14" s="31" t="inlineStr">
        <is>
          <t>Ruxsat</t>
        </is>
      </c>
      <c r="D14" s="32" t="inlineStr">
        <is>
          <t>Bosh sahifadagi omborlar foydalanuvchi huquqiga qarab</t>
        </is>
      </c>
      <c r="E14" s="33" t="inlineStr">
        <is>
          <t>P2</t>
        </is>
      </c>
      <c r="F14" s="33" t="inlineStr">
        <is>
          <t>Security</t>
        </is>
      </c>
      <c r="G14" s="31" t="inlineStr">
        <is>
          <t>Foydalanuvchi — bitta ombor sotuvchisi</t>
        </is>
      </c>
      <c r="H14" s="31" t="inlineStr">
        <is>
          <t>1. Bosh sahifani ochish</t>
        </is>
      </c>
      <c r="I14" s="31" t="inlineStr"/>
      <c r="J14" s="31" t="inlineStr">
        <is>
          <t>Faqat o'z omborining tabi ko'rinadi</t>
        </is>
      </c>
      <c r="K14" s="31" t="inlineStr"/>
      <c r="L14" s="33" t="inlineStr">
        <is>
          <t>Qisman</t>
        </is>
      </c>
      <c r="M14" s="31" t="inlineStr">
        <is>
          <t>Sotuvchi akkaunti kerak</t>
        </is>
      </c>
      <c r="N14" s="33" t="inlineStr">
        <is>
          <t>Avtomatlashtirilmagan</t>
        </is>
      </c>
      <c r="O14" s="31" t="inlineStr"/>
      <c r="P14" s="33" t="inlineStr">
        <is>
          <t>Bajarilmagan</t>
        </is>
      </c>
      <c r="Q14" s="31" t="inlineStr"/>
    </row>
    <row r="15" ht="62" customHeight="1">
      <c r="A15" s="26" t="inlineStr">
        <is>
          <t>PINC-001</t>
        </is>
      </c>
      <c r="B15" s="27" t="inlineStr">
        <is>
          <t>Qabul qilingan mahsulot (kirim)</t>
        </is>
      </c>
      <c r="C15" s="27" t="inlineStr">
        <is>
          <t>Ro'yxat</t>
        </is>
      </c>
      <c r="D15" s="28" t="inlineStr">
        <is>
          <t>Kirimlar ro'yxati va filtrlari</t>
        </is>
      </c>
      <c r="E15" s="29" t="inlineStr">
        <is>
          <t>P2</t>
        </is>
      </c>
      <c r="F15" s="29" t="inlineStr">
        <is>
          <t>Functional</t>
        </is>
      </c>
      <c r="G15" s="27" t="inlineStr">
        <is>
          <t>Admin panelga test akkaunti bilan kirilgan (to'liq huquqlar)</t>
        </is>
      </c>
      <c r="H15" s="27" t="inlineStr">
        <is>
          <t>1. Mahsulotlar amallari → Qabul qilingan mahsulot
2. Filtr: sana oralig'i, ombor, yetkazib beruvchi, status, yetkazish holati</t>
        </is>
      </c>
      <c r="I15" s="27" t="inlineStr"/>
      <c r="J15" s="27" t="inlineStr">
        <is>
          <t>Ro'yxat filtrlanadi; ustunlar: ID, yaratilgan sana, ombor, yetkazib beruvchi, narx, status, yetkazish holati, nashr statusi, nashr qilingan vaqti; sahifalash ishlaydi</t>
        </is>
      </c>
      <c r="K15" s="27" t="inlineStr"/>
      <c r="L15" s="29" t="inlineStr">
        <is>
          <t>Ha</t>
        </is>
      </c>
      <c r="M15" s="27" t="inlineStr"/>
      <c r="N15" s="29" t="inlineStr">
        <is>
          <t>Avtomatlashtirilmagan</t>
        </is>
      </c>
      <c r="O15" s="27" t="inlineStr"/>
      <c r="P15" s="29" t="inlineStr">
        <is>
          <t>Bajarilmagan</t>
        </is>
      </c>
      <c r="Q15" s="27" t="inlineStr"/>
    </row>
    <row r="16" ht="76" customHeight="1">
      <c r="A16" s="26" t="inlineStr">
        <is>
          <t>PINC-002</t>
        </is>
      </c>
      <c r="B16" s="27" t="inlineStr">
        <is>
          <t>Qabul qilingan mahsulot (kirim)</t>
        </is>
      </c>
      <c r="C16" s="27" t="inlineStr">
        <is>
          <t>Yaratish</t>
        </is>
      </c>
      <c r="D16" s="28" t="inlineStr">
        <is>
          <t>Kirim hujjatini yaratish</t>
        </is>
      </c>
      <c r="E16" s="29" t="inlineStr">
        <is>
          <t>P1</t>
        </is>
      </c>
      <c r="F16" s="29" t="inlineStr">
        <is>
          <t>Smoke</t>
        </is>
      </c>
      <c r="G16" s="27" t="inlineStr">
        <is>
          <t>Admin panelga test akkaunti bilan kirilgan (to'liq huquqlar)</t>
        </is>
      </c>
      <c r="H16" s="27" t="inlineStr">
        <is>
          <t>1. «Yaratish»
2. Ombor, yetkazib beruvchi, yetkazish holati, yetkazish sanasi, valyutani tanlash
3. «Add» — variant, miqdor, kirim narxini qo'shish
4. «Saqlash»</t>
        </is>
      </c>
      <c r="I16" s="27" t="inlineStr">
        <is>
          <t>Ombor: Asosiy ombor; yetkazib beruvchi — istalgan</t>
        </is>
      </c>
      <c r="J16" s="27" t="inlineStr">
        <is>
          <t>Hujjat «Yaratilgan» statusida; qatorga oxirgi kirim narxi, o'rtacha narx, B2B/B2M/B2C narxlari tortiladi</t>
        </is>
      </c>
      <c r="K16" s="27" t="inlineStr"/>
      <c r="L16" s="29" t="inlineStr">
        <is>
          <t>Ha</t>
        </is>
      </c>
      <c r="M16" s="27" t="inlineStr"/>
      <c r="N16" s="29" t="inlineStr">
        <is>
          <t>Avtomatlashtirilmagan</t>
        </is>
      </c>
      <c r="O16" s="27" t="inlineStr"/>
      <c r="P16" s="29" t="inlineStr">
        <is>
          <t>Bajarilmagan</t>
        </is>
      </c>
      <c r="Q16" s="27" t="inlineStr"/>
    </row>
    <row r="17" ht="48" customHeight="1">
      <c r="A17" s="26" t="inlineStr">
        <is>
          <t>PINC-003</t>
        </is>
      </c>
      <c r="B17" s="27" t="inlineStr">
        <is>
          <t>Qabul qilingan mahsulot (kirim)</t>
        </is>
      </c>
      <c r="C17" s="27" t="inlineStr">
        <is>
          <t>Narxlar</t>
        </is>
      </c>
      <c r="D17" s="28" t="inlineStr">
        <is>
          <t>O'rtacha narx va ustama hisobi</t>
        </is>
      </c>
      <c r="E17" s="29" t="inlineStr">
        <is>
          <t>P1</t>
        </is>
      </c>
      <c r="F17" s="29" t="inlineStr">
        <is>
          <t>Functional</t>
        </is>
      </c>
      <c r="G17" s="27" t="inlineStr">
        <is>
          <t>Admin panelga test akkaunti bilan kirilgan (to'liq huquqlar); kirim hujjati ochiq</t>
        </is>
      </c>
      <c r="H17" s="27" t="inlineStr">
        <is>
          <t>1. Kirim narxi, Fare percent, Custom clearance kiritish
2. «Fill income price» / «Apply»ni bosish</t>
        </is>
      </c>
      <c r="I17" s="27" t="inlineStr"/>
      <c r="J17" s="27" t="inlineStr">
        <is>
          <t>O'rtacha narx qayta hisoblanadi; B2B/B2M/B2C narxlari ≥ 1 va [o'rtacha narx; o'rtacha × (1 + Max margin %)] oralig'ida</t>
        </is>
      </c>
      <c r="K17" s="27" t="inlineStr">
        <is>
          <t>PRD Product Income Excel Import</t>
        </is>
      </c>
      <c r="L17" s="29" t="inlineStr">
        <is>
          <t>Qisman</t>
        </is>
      </c>
      <c r="M17" s="27" t="inlineStr">
        <is>
          <t>Formulani calculate-average-prices API orqali solishtirish</t>
        </is>
      </c>
      <c r="N17" s="29" t="inlineStr">
        <is>
          <t>Avtomatlashtirilmagan</t>
        </is>
      </c>
      <c r="O17" s="27" t="inlineStr"/>
      <c r="P17" s="29" t="inlineStr">
        <is>
          <t>Bajarilmagan</t>
        </is>
      </c>
      <c r="Q17" s="27" t="inlineStr"/>
    </row>
    <row r="18" ht="48" customHeight="1">
      <c r="A18" s="26" t="inlineStr">
        <is>
          <t>PINC-004</t>
        </is>
      </c>
      <c r="B18" s="27" t="inlineStr">
        <is>
          <t>Qabul qilingan mahsulot (kirim)</t>
        </is>
      </c>
      <c r="C18" s="27" t="inlineStr">
        <is>
          <t>Narxlar</t>
        </is>
      </c>
      <c r="D18" s="28" t="inlineStr">
        <is>
          <t>Ruxsat etilgan oraliqdan tashqari sotuv narxi</t>
        </is>
      </c>
      <c r="E18" s="29" t="inlineStr">
        <is>
          <t>P1</t>
        </is>
      </c>
      <c r="F18" s="29" t="inlineStr">
        <is>
          <t>Negative</t>
        </is>
      </c>
      <c r="G18" s="27" t="inlineStr">
        <is>
          <t>Admin panelga test akkaunti bilan kirilgan (to'liq huquqlar); kirim hujjati ochiq</t>
        </is>
      </c>
      <c r="H18" s="27" t="inlineStr">
        <is>
          <t>1. B2C narxini o'rtacha narxdan past qo'yish
2. «Saqlash»</t>
        </is>
      </c>
      <c r="I18" s="27" t="inlineStr"/>
      <c r="J18" s="27" t="inlineStr">
        <is>
          <t>Saqlash bloklanadi, qatorda xato</t>
        </is>
      </c>
      <c r="K18" s="27" t="inlineStr"/>
      <c r="L18" s="29" t="inlineStr">
        <is>
          <t>Ha</t>
        </is>
      </c>
      <c r="M18" s="27" t="inlineStr"/>
      <c r="N18" s="29" t="inlineStr">
        <is>
          <t>Avtomatlashtirilmagan</t>
        </is>
      </c>
      <c r="O18" s="27" t="inlineStr"/>
      <c r="P18" s="29" t="inlineStr">
        <is>
          <t>Bajarilmagan</t>
        </is>
      </c>
      <c r="Q18" s="27" t="inlineStr"/>
    </row>
    <row r="19" ht="48" customHeight="1">
      <c r="A19" s="26" t="inlineStr">
        <is>
          <t>PINC-005</t>
        </is>
      </c>
      <c r="B19" s="27" t="inlineStr">
        <is>
          <t>Qabul qilingan mahsulot (kirim)</t>
        </is>
      </c>
      <c r="C19" s="27" t="inlineStr">
        <is>
          <t>Excel</t>
        </is>
      </c>
      <c r="D19" s="28" t="inlineStr">
        <is>
          <t>Yetkazib beruvchi Excel faylidan qatorlarni import qilish</t>
        </is>
      </c>
      <c r="E19" s="29" t="inlineStr">
        <is>
          <t>P2</t>
        </is>
      </c>
      <c r="F19" s="29" t="inlineStr">
        <is>
          <t>Functional</t>
        </is>
      </c>
      <c r="G19" s="27" t="inlineStr">
        <is>
          <t>Admin panelga test akkaunti bilan kirilgan (to'liq huquqlar); yangi kirim hujjati ochiq</t>
        </is>
      </c>
      <c r="H19" s="27" t="inlineStr">
        <is>
          <t>1. «Template» — shablonni yuklab olish
2. Variant, miqdor, narxni to'ldirish
3. «Import»</t>
        </is>
      </c>
      <c r="I19" s="27" t="inlineStr"/>
      <c r="J19" s="27" t="inlineStr">
        <is>
          <t>Qatorlar avtomatik to'ldiriladi va darhol saqlashga yaroqli; hosila narxlar tortiladi</t>
        </is>
      </c>
      <c r="K19" s="27" t="inlineStr">
        <is>
          <t>PRD Product Income Excel Import</t>
        </is>
      </c>
      <c r="L19" s="29" t="inlineStr">
        <is>
          <t>Ha</t>
        </is>
      </c>
      <c r="M19" s="27" t="inlineStr"/>
      <c r="N19" s="29" t="inlineStr">
        <is>
          <t>Avtomatlashtirilmagan</t>
        </is>
      </c>
      <c r="O19" s="27" t="inlineStr"/>
      <c r="P19" s="29" t="inlineStr">
        <is>
          <t>Bajarilmagan</t>
        </is>
      </c>
      <c r="Q19" s="27" t="inlineStr"/>
    </row>
    <row r="20" ht="48" customHeight="1">
      <c r="A20" s="26" t="inlineStr">
        <is>
          <t>PINC-006</t>
        </is>
      </c>
      <c r="B20" s="27" t="inlineStr">
        <is>
          <t>Qabul qilingan mahsulot (kirim)</t>
        </is>
      </c>
      <c r="C20" s="27" t="inlineStr">
        <is>
          <t>Excel</t>
        </is>
      </c>
      <c r="D20" s="28" t="inlineStr">
        <is>
          <t>Xatoli Excel import</t>
        </is>
      </c>
      <c r="E20" s="29" t="inlineStr">
        <is>
          <t>P2</t>
        </is>
      </c>
      <c r="F20" s="29" t="inlineStr">
        <is>
          <t>Negative</t>
        </is>
      </c>
      <c r="G20" s="27" t="inlineStr">
        <is>
          <t>Admin panelga test akkaunti bilan kirilgan (to'liq huquqlar)</t>
        </is>
      </c>
      <c r="H20" s="27" t="inlineStr">
        <is>
          <t>1. Mavjud bo'lmagan variant / bo'sh miqdorli fayl import qilish</t>
        </is>
      </c>
      <c r="I20" s="27" t="inlineStr"/>
      <c r="J20" s="27" t="inlineStr">
        <is>
          <t>Import butunlay rad etiladi (hammasi yoki hech narsa), qator/ustun raqami bilan tushunarli o'zbekcha xato</t>
        </is>
      </c>
      <c r="K20" s="27" t="inlineStr"/>
      <c r="L20" s="29" t="inlineStr">
        <is>
          <t>Ha</t>
        </is>
      </c>
      <c r="M20" s="27" t="inlineStr"/>
      <c r="N20" s="29" t="inlineStr">
        <is>
          <t>Avtomatlashtirilmagan</t>
        </is>
      </c>
      <c r="O20" s="27" t="inlineStr"/>
      <c r="P20" s="29" t="inlineStr">
        <is>
          <t>Bajarilmagan</t>
        </is>
      </c>
      <c r="Q20" s="27" t="inlineStr"/>
    </row>
    <row r="21" ht="62" customHeight="1">
      <c r="A21" s="26" t="inlineStr">
        <is>
          <t>PINC-007</t>
        </is>
      </c>
      <c r="B21" s="27" t="inlineStr">
        <is>
          <t>Qabul qilingan mahsulot (kirim)</t>
        </is>
      </c>
      <c r="C21" s="27" t="inlineStr">
        <is>
          <t>Statuslar</t>
        </is>
      </c>
      <c r="D21" s="28" t="inlineStr">
        <is>
          <t>«Yo'lda» → «Qabul qilingan» → «Nashr»</t>
        </is>
      </c>
      <c r="E21" s="29" t="inlineStr">
        <is>
          <t>P1</t>
        </is>
      </c>
      <c r="F21" s="29" t="inlineStr">
        <is>
          <t>Smoke</t>
        </is>
      </c>
      <c r="G21" s="27" t="inlineStr">
        <is>
          <t>Admin panelga test akkaunti bilan kirilgan (to'liq huquqlar); kirim hujjati «Yaratilgan», yetkazish «Yo'lda»</t>
        </is>
      </c>
      <c r="H21" s="27" t="inlineStr">
        <is>
          <t>1. Yetkazish holatini «Qabul qilingan»ga o'zgartirish
2. Saqlash
3. «Nashr»</t>
        </is>
      </c>
      <c r="I21" s="27" t="inlineStr"/>
      <c r="J21" s="27" t="inlineStr">
        <is>
          <t>Nashr faqat «Qabul qilingan»da mumkin; nashrdan keyin ombor qoldig'i miqdorga oshadi; nashr vaqti to'ldiriladi; hujjat tahrirlash uchun qulflanadi (faqat izoh)</t>
        </is>
      </c>
      <c r="K21" s="27" t="inlineStr">
        <is>
          <t>PRD Kirim — qisman kelish</t>
        </is>
      </c>
      <c r="L21" s="29" t="inlineStr">
        <is>
          <t>Ha</t>
        </is>
      </c>
      <c r="M21" s="27" t="inlineStr"/>
      <c r="N21" s="29" t="inlineStr">
        <is>
          <t>Avtomatlashtirilmagan</t>
        </is>
      </c>
      <c r="O21" s="27" t="inlineStr"/>
      <c r="P21" s="29" t="inlineStr">
        <is>
          <t>Bajarilmagan</t>
        </is>
      </c>
      <c r="Q21" s="27" t="inlineStr"/>
    </row>
    <row r="22" ht="48" customHeight="1">
      <c r="A22" s="26" t="inlineStr">
        <is>
          <t>PINC-008</t>
        </is>
      </c>
      <c r="B22" s="27" t="inlineStr">
        <is>
          <t>Qabul qilingan mahsulot (kirim)</t>
        </is>
      </c>
      <c r="C22" s="27" t="inlineStr">
        <is>
          <t>Statuslar</t>
        </is>
      </c>
      <c r="D22" s="28" t="inlineStr">
        <is>
          <t>Qabul qilinmaguncha nashr qilib bo'lmaydi</t>
        </is>
      </c>
      <c r="E22" s="29" t="inlineStr">
        <is>
          <t>P2</t>
        </is>
      </c>
      <c r="F22" s="29" t="inlineStr">
        <is>
          <t>Negative</t>
        </is>
      </c>
      <c r="G22" s="27" t="inlineStr">
        <is>
          <t>Admin panelga test akkaunti bilan kirilgan (to'liq huquqlar); hujjat «Yo'lda»</t>
        </is>
      </c>
      <c r="H22" s="27" t="inlineStr">
        <is>
          <t>1. «Nashr»ga urinish</t>
        </is>
      </c>
      <c r="I22" s="27" t="inlineStr"/>
      <c r="J22" s="27" t="inlineStr">
        <is>
          <t>Tugma faol emas / xato</t>
        </is>
      </c>
      <c r="K22" s="27" t="inlineStr"/>
      <c r="L22" s="29" t="inlineStr">
        <is>
          <t>Ha</t>
        </is>
      </c>
      <c r="M22" s="27" t="inlineStr"/>
      <c r="N22" s="29" t="inlineStr">
        <is>
          <t>Avtomatlashtirilmagan</t>
        </is>
      </c>
      <c r="O22" s="27" t="inlineStr"/>
      <c r="P22" s="29" t="inlineStr">
        <is>
          <t>Bajarilmagan</t>
        </is>
      </c>
      <c r="Q22" s="27" t="inlineStr"/>
    </row>
    <row r="23" ht="62" customHeight="1">
      <c r="A23" s="26" t="inlineStr">
        <is>
          <t>PINC-009</t>
        </is>
      </c>
      <c r="B23" s="27" t="inlineStr">
        <is>
          <t>Qabul qilingan mahsulot (kirim)</t>
        </is>
      </c>
      <c r="C23" s="27" t="inlineStr">
        <is>
          <t>Qisman qabul</t>
        </is>
      </c>
      <c r="D23" s="28" t="inlineStr">
        <is>
          <t>Qisman kelish («Keldi»)</t>
        </is>
      </c>
      <c r="E23" s="29" t="inlineStr">
        <is>
          <t>P2</t>
        </is>
      </c>
      <c r="F23" s="29" t="inlineStr">
        <is>
          <t>Functional</t>
        </is>
      </c>
      <c r="G23" s="27" t="inlineStr">
        <is>
          <t>Admin panelga test akkaunti bilan kirilgan (to'liq huquqlar); hujjat «Yaratilgan» + «Yo'lda»</t>
        </is>
      </c>
      <c r="H23" s="27" t="inlineStr">
        <is>
          <t>1. Qatorlarni belgilash
2. «Keldi», kelgan miqdorni kiritish (1…hujjatdagi miqdor)
3. «Qabul qilish»</t>
        </is>
      </c>
      <c r="I23" s="27" t="inlineStr"/>
      <c r="J23" s="27" t="inlineStr">
        <is>
          <t>Kelgan miqdor bilan «Qabul qilingan» yangi hujjat yaratiladi; asl hujjatda faqat kelmaganlar qoladi; yig'indilar mos; oraliqdan tashqari — xato, tugma faol emas</t>
        </is>
      </c>
      <c r="K23" s="27" t="inlineStr">
        <is>
          <t>PRD Kirim — qisman kelish (AIDT-753)</t>
        </is>
      </c>
      <c r="L23" s="29" t="inlineStr">
        <is>
          <t>Ha</t>
        </is>
      </c>
      <c r="M23" s="27" t="inlineStr"/>
      <c r="N23" s="29" t="inlineStr">
        <is>
          <t>Avtomatlashtirilmagan</t>
        </is>
      </c>
      <c r="O23" s="27" t="inlineStr"/>
      <c r="P23" s="29" t="inlineStr">
        <is>
          <t>Bajarilmagan</t>
        </is>
      </c>
      <c r="Q23" s="27" t="inlineStr"/>
    </row>
    <row r="24" ht="48" customHeight="1">
      <c r="A24" s="26" t="inlineStr">
        <is>
          <t>PINC-010</t>
        </is>
      </c>
      <c r="B24" s="27" t="inlineStr">
        <is>
          <t>Qabul qilingan mahsulot (kirim)</t>
        </is>
      </c>
      <c r="C24" s="27" t="inlineStr">
        <is>
          <t>Chop etish</t>
        </is>
      </c>
      <c r="D24" s="28" t="inlineStr">
        <is>
          <t>Yorliq chop etish (Label / Yorliq nomi)</t>
        </is>
      </c>
      <c r="E24" s="29" t="inlineStr">
        <is>
          <t>P3</t>
        </is>
      </c>
      <c r="F24" s="29" t="inlineStr">
        <is>
          <t>Functional</t>
        </is>
      </c>
      <c r="G24" s="27" t="inlineStr">
        <is>
          <t>Admin panelga test akkaunti bilan kirilgan (to'liq huquqlar); mahsulotli kirim hujjati</t>
        </is>
      </c>
      <c r="H24" s="27" t="inlineStr">
        <is>
          <t>1. Qatordagi «Label» / «Print»ni bosish</t>
        </is>
      </c>
      <c r="I24" s="27" t="inlineStr"/>
      <c r="J24" s="27" t="inlineStr">
        <is>
          <t>Yorliq nomi bilan yorliq chop etish oynasi ochiladi</t>
        </is>
      </c>
      <c r="K24" s="27" t="inlineStr"/>
      <c r="L24" s="29" t="inlineStr">
        <is>
          <t>Qisman</t>
        </is>
      </c>
      <c r="M24" s="27" t="inlineStr">
        <is>
          <t>Chop etish vizual tekshiriladi</t>
        </is>
      </c>
      <c r="N24" s="29" t="inlineStr">
        <is>
          <t>Avtomatlashtirilmagan</t>
        </is>
      </c>
      <c r="O24" s="27" t="inlineStr"/>
      <c r="P24" s="29" t="inlineStr">
        <is>
          <t>Bajarilmagan</t>
        </is>
      </c>
      <c r="Q24" s="27" t="inlineStr"/>
    </row>
    <row r="25" ht="34" customHeight="1">
      <c r="A25" s="26" t="inlineStr">
        <is>
          <t>PINC-011</t>
        </is>
      </c>
      <c r="B25" s="27" t="inlineStr">
        <is>
          <t>Qabul qilingan mahsulot (kirim)</t>
        </is>
      </c>
      <c r="C25" s="27" t="inlineStr">
        <is>
          <t>Bog'liqlik</t>
        </is>
      </c>
      <c r="D25" s="28" t="inlineStr">
        <is>
          <t>Kirim «Bo'lsa olar edim» so'rovlarini yopadi</t>
        </is>
      </c>
      <c r="E25" s="29" t="inlineStr">
        <is>
          <t>P2</t>
        </is>
      </c>
      <c r="F25" s="29" t="inlineStr">
        <is>
          <t>Integration</t>
        </is>
      </c>
      <c r="G25" s="27" t="inlineStr">
        <is>
          <t>Qoldig'i yo'q variantga «Bo'lsa olar edim» so'rovi bor</t>
        </is>
      </c>
      <c r="H25" s="27" t="inlineStr">
        <is>
          <t>1. Shu variant kirimini mijoz omboriga nashr qilish
2. So'rovlar → Bo'lsa olar edim ni ochish</t>
        </is>
      </c>
      <c r="I25" s="27" t="inlineStr"/>
      <c r="J25" s="27" t="inlineStr">
        <is>
          <t>So'rov «Tugallangan», sana, ijrochi va kirim ko'rsatilgan</t>
        </is>
      </c>
      <c r="K25" s="27" t="inlineStr">
        <is>
          <t>PRD Bo'lsa olar edim (admin)</t>
        </is>
      </c>
      <c r="L25" s="29" t="inlineStr">
        <is>
          <t>Ha</t>
        </is>
      </c>
      <c r="M25" s="27" t="inlineStr"/>
      <c r="N25" s="29" t="inlineStr">
        <is>
          <t>Avtomatlashtirilmagan</t>
        </is>
      </c>
      <c r="O25" s="27" t="inlineStr"/>
      <c r="P25" s="29" t="inlineStr">
        <is>
          <t>Bajarilmagan</t>
        </is>
      </c>
      <c r="Q25" s="27" t="inlineStr"/>
    </row>
    <row r="26" ht="76" customHeight="1">
      <c r="A26" s="30" t="inlineStr">
        <is>
          <t>PRICE-001</t>
        </is>
      </c>
      <c r="B26" s="31" t="inlineStr">
        <is>
          <t>Narxni o'zgartirish</t>
        </is>
      </c>
      <c r="C26" s="31" t="inlineStr">
        <is>
          <t>Hujjat</t>
        </is>
      </c>
      <c r="D26" s="32" t="inlineStr">
        <is>
          <t>Narxni o'zgartirish hujjatini yaratish</t>
        </is>
      </c>
      <c r="E26" s="33" t="inlineStr">
        <is>
          <t>P1</t>
        </is>
      </c>
      <c r="F26" s="33" t="inlineStr">
        <is>
          <t>Smoke</t>
        </is>
      </c>
      <c r="G26" s="31" t="inlineStr">
        <is>
          <t>Admin panelga test akkaunti bilan kirilgan (to'liq huquqlar)</t>
        </is>
      </c>
      <c r="H26" s="31" t="inlineStr">
        <is>
          <t>1. Mahsulotlar amallari → Narxni o'zgartirish → «Yaratish»
2. «Add» variant
3. Yangi B2B/B2C/B2M narxlarini kiritish
4. «Saqlash»</t>
        </is>
      </c>
      <c r="I26" s="31" t="inlineStr"/>
      <c r="J26" s="31" t="inlineStr">
        <is>
          <t>Hujjat saqlanadi; uchta tur bo'yicha eski va yangi narxlar ko'rinadi</t>
        </is>
      </c>
      <c r="K26" s="31" t="inlineStr"/>
      <c r="L26" s="33" t="inlineStr">
        <is>
          <t>Ha</t>
        </is>
      </c>
      <c r="M26" s="31" t="inlineStr"/>
      <c r="N26" s="33" t="inlineStr">
        <is>
          <t>Avtomatlashtirilmagan</t>
        </is>
      </c>
      <c r="O26" s="31" t="inlineStr"/>
      <c r="P26" s="33" t="inlineStr">
        <is>
          <t>Bajarilmagan</t>
        </is>
      </c>
      <c r="Q26" s="31" t="inlineStr"/>
    </row>
    <row r="27" ht="48" customHeight="1">
      <c r="A27" s="30" t="inlineStr">
        <is>
          <t>PRICE-002</t>
        </is>
      </c>
      <c r="B27" s="31" t="inlineStr">
        <is>
          <t>Narxni o'zgartirish</t>
        </is>
      </c>
      <c r="C27" s="31" t="inlineStr">
        <is>
          <t>Nashr</t>
        </is>
      </c>
      <c r="D27" s="32" t="inlineStr">
        <is>
          <t>Nashr vitrinadagi narxlarni yangilaydi</t>
        </is>
      </c>
      <c r="E27" s="33" t="inlineStr">
        <is>
          <t>P1</t>
        </is>
      </c>
      <c r="F27" s="33" t="inlineStr">
        <is>
          <t>Integration</t>
        </is>
      </c>
      <c r="G27" s="31" t="inlineStr">
        <is>
          <t>Admin panelga test akkaunti bilan kirilgan (to'liq huquqlar); narx hujjati saqlangan</t>
        </is>
      </c>
      <c r="H27" s="31" t="inlineStr">
        <is>
          <t>1. «Nashr»
2. Vitrinada mahsulotni mijoz va usta sifatida ochish</t>
        </is>
      </c>
      <c r="I27" s="31" t="inlineStr"/>
      <c r="J27" s="31" t="inlineStr">
        <is>
          <t>Nashr sanasi to'ldiriladi; vitrinada yangi B2C (mijoz) va B2M (usta) narxlari</t>
        </is>
      </c>
      <c r="K27" s="31" t="inlineStr"/>
      <c r="L27" s="33" t="inlineStr">
        <is>
          <t>Ha</t>
        </is>
      </c>
      <c r="M27" s="31" t="inlineStr"/>
      <c r="N27" s="33" t="inlineStr">
        <is>
          <t>Avtomatlashtirilmagan</t>
        </is>
      </c>
      <c r="O27" s="31" t="inlineStr"/>
      <c r="P27" s="33" t="inlineStr">
        <is>
          <t>Bajarilmagan</t>
        </is>
      </c>
      <c r="Q27" s="31" t="inlineStr"/>
    </row>
    <row r="28" ht="48" customHeight="1">
      <c r="A28" s="30" t="inlineStr">
        <is>
          <t>PRICE-003</t>
        </is>
      </c>
      <c r="B28" s="31" t="inlineStr">
        <is>
          <t>Narxni o'zgartirish</t>
        </is>
      </c>
      <c r="C28" s="31" t="inlineStr">
        <is>
          <t>Validatsiya</t>
        </is>
      </c>
      <c r="D28" s="32" t="inlineStr">
        <is>
          <t>Bo'sh yoki nol yangi narx</t>
        </is>
      </c>
      <c r="E28" s="33" t="inlineStr">
        <is>
          <t>P2</t>
        </is>
      </c>
      <c r="F28" s="33" t="inlineStr">
        <is>
          <t>Negative</t>
        </is>
      </c>
      <c r="G28" s="31" t="inlineStr">
        <is>
          <t>Admin panelga test akkaunti bilan kirilgan (to'liq huquqlar)</t>
        </is>
      </c>
      <c r="H28" s="31" t="inlineStr">
        <is>
          <t>1. Yangi narxni bo'sh yoki 0 qoldirish
2. «Saqlash»</t>
        </is>
      </c>
      <c r="I28" s="31" t="inlineStr"/>
      <c r="J28" s="31" t="inlineStr">
        <is>
          <t>Saqlash xato bilan bloklanadi</t>
        </is>
      </c>
      <c r="K28" s="31" t="inlineStr"/>
      <c r="L28" s="33" t="inlineStr">
        <is>
          <t>Ha</t>
        </is>
      </c>
      <c r="M28" s="31" t="inlineStr"/>
      <c r="N28" s="33" t="inlineStr">
        <is>
          <t>Avtomatlashtirilmagan</t>
        </is>
      </c>
      <c r="O28" s="31" t="inlineStr"/>
      <c r="P28" s="33" t="inlineStr">
        <is>
          <t>Bajarilmagan</t>
        </is>
      </c>
      <c r="Q28" s="31" t="inlineStr"/>
    </row>
    <row r="29" ht="48" customHeight="1">
      <c r="A29" s="30" t="inlineStr">
        <is>
          <t>PRICE-004</t>
        </is>
      </c>
      <c r="B29" s="31" t="inlineStr">
        <is>
          <t>Narxni o'zgartirish</t>
        </is>
      </c>
      <c r="C29" s="31" t="inlineStr">
        <is>
          <t>Ro'yxat</t>
        </is>
      </c>
      <c r="D29" s="32" t="inlineStr">
        <is>
          <t>Narx hujjatlari ro'yxati</t>
        </is>
      </c>
      <c r="E29" s="33" t="inlineStr">
        <is>
          <t>P3</t>
        </is>
      </c>
      <c r="F29" s="33" t="inlineStr">
        <is>
          <t>UI</t>
        </is>
      </c>
      <c r="G29" s="31" t="inlineStr">
        <is>
          <t>Admin panelga test akkaunti bilan kirilgan (to'liq huquqlar)</t>
        </is>
      </c>
      <c r="H29" s="31" t="inlineStr">
        <is>
          <t>1. Narxni o'zgartirish ni ochish
2. Qidiruv, sahifalash</t>
        </is>
      </c>
      <c r="I29" s="31" t="inlineStr"/>
      <c r="J29" s="31" t="inlineStr">
        <is>
          <t>Ustunlar: Id, yaratilgan sana, nashr sanasi; sahifalash ishlaydi</t>
        </is>
      </c>
      <c r="K29" s="31" t="inlineStr"/>
      <c r="L29" s="33" t="inlineStr">
        <is>
          <t>Ha</t>
        </is>
      </c>
      <c r="M29" s="31" t="inlineStr"/>
      <c r="N29" s="33" t="inlineStr">
        <is>
          <t>Avtomatlashtirilmagan</t>
        </is>
      </c>
      <c r="O29" s="31" t="inlineStr"/>
      <c r="P29" s="33" t="inlineStr">
        <is>
          <t>Bajarilmagan</t>
        </is>
      </c>
      <c r="Q29" s="31" t="inlineStr"/>
    </row>
    <row r="30" ht="62" customHeight="1">
      <c r="A30" s="26" t="inlineStr">
        <is>
          <t>INV-001</t>
        </is>
      </c>
      <c r="B30" s="27" t="inlineStr">
        <is>
          <t>Inventarizatsiya</t>
        </is>
      </c>
      <c r="C30" s="27" t="inlineStr">
        <is>
          <t>Yaratish</t>
        </is>
      </c>
      <c r="D30" s="28" t="inlineStr">
        <is>
          <t>Inventarizatsiyani boshlash</t>
        </is>
      </c>
      <c r="E30" s="29" t="inlineStr">
        <is>
          <t>P1</t>
        </is>
      </c>
      <c r="F30" s="29" t="inlineStr">
        <is>
          <t>Smoke</t>
        </is>
      </c>
      <c r="G30" s="27" t="inlineStr">
        <is>
          <t>Admin panelga test akkaunti bilan kirilgan (to'liq huquqlar); omborda faol inventarizatsiya yo'q</t>
        </is>
      </c>
      <c r="H30" s="27" t="inlineStr">
        <is>
          <t>1. Mahsulotlar amallari → Inventorizatsiya → «Yaratish»
2. Ombor, tur (Offline/Online)
3. «Start»</t>
        </is>
      </c>
      <c r="I30" s="27" t="inlineStr"/>
      <c r="J30" s="27" t="inlineStr">
        <is>
          <t>Hujjat yaratiladi; ombor brak ombori bilan birga inventarizatsiya rejimida (muzlatilgan)</t>
        </is>
      </c>
      <c r="K30" s="27" t="inlineStr"/>
      <c r="L30" s="29" t="inlineStr">
        <is>
          <t>Ha</t>
        </is>
      </c>
      <c r="M30" s="27" t="inlineStr"/>
      <c r="N30" s="29" t="inlineStr">
        <is>
          <t>Avtomatlashtirilmagan</t>
        </is>
      </c>
      <c r="O30" s="27" t="inlineStr"/>
      <c r="P30" s="29" t="inlineStr">
        <is>
          <t>Bajarilmagan</t>
        </is>
      </c>
      <c r="Q30" s="27" t="inlineStr"/>
    </row>
    <row r="31" ht="62" customHeight="1">
      <c r="A31" s="26" t="inlineStr">
        <is>
          <t>INV-002</t>
        </is>
      </c>
      <c r="B31" s="27" t="inlineStr">
        <is>
          <t>Inventarizatsiya</t>
        </is>
      </c>
      <c r="C31" s="27" t="inlineStr">
        <is>
          <t>Cheklovlar</t>
        </is>
      </c>
      <c r="D31" s="28" t="inlineStr">
        <is>
          <t>Bitta omborda ikkinchi inventarizatsiya</t>
        </is>
      </c>
      <c r="E31" s="29" t="inlineStr">
        <is>
          <t>P1</t>
        </is>
      </c>
      <c r="F31" s="29" t="inlineStr">
        <is>
          <t>Negative</t>
        </is>
      </c>
      <c r="G31" s="27" t="inlineStr">
        <is>
          <t>Admin panelga test akkaunti bilan kirilgan (to'liq huquqlar); omborda faol inventarizatsiya bor</t>
        </is>
      </c>
      <c r="H31" s="27" t="inlineStr">
        <is>
          <t>1. Shu omborga yana bittasini boshlash</t>
        </is>
      </c>
      <c r="I31" s="27" t="inlineStr"/>
      <c r="J31" s="27" t="inlineStr">
        <is>
          <t>Xato bilan bloklanadi; boshqa omborda boshlash mumkin</t>
        </is>
      </c>
      <c r="K31" s="27" t="inlineStr">
        <is>
          <t>PRD Inventory</t>
        </is>
      </c>
      <c r="L31" s="29" t="inlineStr">
        <is>
          <t>Ha</t>
        </is>
      </c>
      <c r="M31" s="27" t="inlineStr"/>
      <c r="N31" s="29" t="inlineStr">
        <is>
          <t>Avtomatlashtirilmagan</t>
        </is>
      </c>
      <c r="O31" s="27" t="inlineStr"/>
      <c r="P31" s="29" t="inlineStr">
        <is>
          <t>Bajarilmagan</t>
        </is>
      </c>
      <c r="Q31" s="27" t="inlineStr"/>
    </row>
    <row r="32" ht="62" customHeight="1">
      <c r="A32" s="26" t="inlineStr">
        <is>
          <t>INV-003</t>
        </is>
      </c>
      <c r="B32" s="27" t="inlineStr">
        <is>
          <t>Inventarizatsiya</t>
        </is>
      </c>
      <c r="C32" s="27" t="inlineStr">
        <is>
          <t>Cheklovlar</t>
        </is>
      </c>
      <c r="D32" s="28" t="inlineStr">
        <is>
          <t>Inventarizatsiya vaqtida ombor amallari</t>
        </is>
      </c>
      <c r="E32" s="29" t="inlineStr">
        <is>
          <t>P1</t>
        </is>
      </c>
      <c r="F32" s="29" t="inlineStr">
        <is>
          <t>Negative</t>
        </is>
      </c>
      <c r="G32" s="27" t="inlineStr">
        <is>
          <t>Admin panelga test akkaunti bilan kirilgan (to'liq huquqlar); ombor inventarizatsiya rejimida</t>
        </is>
      </c>
      <c r="H32" s="27" t="inlineStr">
        <is>
          <t>1. Shu omborga o'tkazma yuborish / kirimni nashr qilishga urinish</t>
        </is>
      </c>
      <c r="I32" s="27" t="inlineStr"/>
      <c r="J32" s="27" t="inlineStr">
        <is>
          <t>Amallar tushunarli xato bilan bloklanadi</t>
        </is>
      </c>
      <c r="K32" s="27" t="inlineStr"/>
      <c r="L32" s="29" t="inlineStr">
        <is>
          <t>Qisman</t>
        </is>
      </c>
      <c r="M32" s="27" t="inlineStr"/>
      <c r="N32" s="29" t="inlineStr">
        <is>
          <t>Avtomatlashtirilmagan</t>
        </is>
      </c>
      <c r="O32" s="27" t="inlineStr"/>
      <c r="P32" s="29" t="inlineStr">
        <is>
          <t>Bajarilmagan</t>
        </is>
      </c>
      <c r="Q32" s="27" t="inlineStr"/>
    </row>
    <row r="33" ht="76" customHeight="1">
      <c r="A33" s="26" t="inlineStr">
        <is>
          <t>INV-004</t>
        </is>
      </c>
      <c r="B33" s="27" t="inlineStr">
        <is>
          <t>Inventarizatsiya</t>
        </is>
      </c>
      <c r="C33" s="27" t="inlineStr">
        <is>
          <t>Ochiq hujjatlar</t>
        </is>
      </c>
      <c r="D33" s="28" t="inlineStr">
        <is>
          <t>Boshlashdan oldin ochiq hujjatlar oynasi</t>
        </is>
      </c>
      <c r="E33" s="29" t="inlineStr">
        <is>
          <t>P2</t>
        </is>
      </c>
      <c r="F33" s="29" t="inlineStr">
        <is>
          <t>Functional</t>
        </is>
      </c>
      <c r="G33" s="27" t="inlineStr">
        <is>
          <t>Admin panelga test akkaunti bilan kirilgan (to'liq huquqlar); omborda «Yaratilgan/Tayyorlandi/Yo'lda/Qaytarilgan» o'tkazmalar bor</t>
        </is>
      </c>
      <c r="H33" s="27" t="inlineStr">
        <is>
          <t>1. Inventarizatsiyani boshlash</t>
        </is>
      </c>
      <c r="I33" s="27" t="inlineStr"/>
      <c r="J33" s="27" t="inlineStr">
        <is>
          <t>Ochiq hujjatlar oynasi ko'rsatiladi; qaytarilganlar bloklamaydi</t>
        </is>
      </c>
      <c r="K33" s="27" t="inlineStr"/>
      <c r="L33" s="29" t="inlineStr">
        <is>
          <t>Qisman</t>
        </is>
      </c>
      <c r="M33" s="27" t="inlineStr"/>
      <c r="N33" s="29" t="inlineStr">
        <is>
          <t>Avtomatlashtirilmagan</t>
        </is>
      </c>
      <c r="O33" s="27" t="inlineStr"/>
      <c r="P33" s="29" t="inlineStr">
        <is>
          <t>Bajarilmagan</t>
        </is>
      </c>
      <c r="Q33" s="27" t="inlineStr"/>
    </row>
    <row r="34" ht="48" customHeight="1">
      <c r="A34" s="26" t="inlineStr">
        <is>
          <t>INV-005</t>
        </is>
      </c>
      <c r="B34" s="27" t="inlineStr">
        <is>
          <t>Inventarizatsiya</t>
        </is>
      </c>
      <c r="C34" s="27" t="inlineStr">
        <is>
          <t>Excel</t>
        </is>
      </c>
      <c r="D34" s="28" t="inlineStr">
        <is>
          <t>Excelni yuklab olish va yuklash</t>
        </is>
      </c>
      <c r="E34" s="29" t="inlineStr">
        <is>
          <t>P1</t>
        </is>
      </c>
      <c r="F34" s="29" t="inlineStr">
        <is>
          <t>Functional</t>
        </is>
      </c>
      <c r="G34" s="27" t="inlineStr">
        <is>
          <t>Admin panelga test akkaunti bilan kirilgan (to'liq huquqlar); faol inventarizatsiya</t>
        </is>
      </c>
      <c r="H34" s="27" t="inlineStr">
        <is>
          <t>1. «Yuklab olish»
2. Faktni to'ldirish
3. Faylni yuklash</t>
        </is>
      </c>
      <c r="I34" s="27" t="inlineStr"/>
      <c r="J34" s="27" t="inlineStr">
        <is>
          <t>Excelda qoldiqlar va harakat ustunlari bor (Transfer Yaratilgan / Tayyorlandi / Yo'lda / Transfer return); yuklash ma'lumotlarni tekshiradi</t>
        </is>
      </c>
      <c r="K34" s="27" t="inlineStr"/>
      <c r="L34" s="29" t="inlineStr">
        <is>
          <t>Ha</t>
        </is>
      </c>
      <c r="M34" s="27" t="inlineStr"/>
      <c r="N34" s="29" t="inlineStr">
        <is>
          <t>Avtomatlashtirilmagan</t>
        </is>
      </c>
      <c r="O34" s="27" t="inlineStr"/>
      <c r="P34" s="29" t="inlineStr">
        <is>
          <t>Bajarilmagan</t>
        </is>
      </c>
      <c r="Q34" s="27" t="inlineStr"/>
    </row>
    <row r="35" ht="48" customHeight="1">
      <c r="A35" s="26" t="inlineStr">
        <is>
          <t>INV-006</t>
        </is>
      </c>
      <c r="B35" s="27" t="inlineStr">
        <is>
          <t>Inventarizatsiya</t>
        </is>
      </c>
      <c r="C35" s="27" t="inlineStr">
        <is>
          <t>Excel</t>
        </is>
      </c>
      <c r="D35" s="28" t="inlineStr">
        <is>
          <t>Noto'g'ri faylni yuklash</t>
        </is>
      </c>
      <c r="E35" s="29" t="inlineStr">
        <is>
          <t>P2</t>
        </is>
      </c>
      <c r="F35" s="29" t="inlineStr">
        <is>
          <t>Negative</t>
        </is>
      </c>
      <c r="G35" s="27" t="inlineStr">
        <is>
          <t>Admin panelga test akkaunti bilan kirilgan (to'liq huquqlar)</t>
        </is>
      </c>
      <c r="H35" s="27" t="inlineStr">
        <is>
          <t>1. Boshqa ombor fayli / miqdorda harf bor faylni yuklash</t>
        </is>
      </c>
      <c r="I35" s="27" t="inlineStr"/>
      <c r="J35" s="27" t="inlineStr">
        <is>
          <t>Validatsiya xatosi, ma'lumotlar o'zgarmaydi</t>
        </is>
      </c>
      <c r="K35" s="27" t="inlineStr"/>
      <c r="L35" s="29" t="inlineStr">
        <is>
          <t>Ha</t>
        </is>
      </c>
      <c r="M35" s="27" t="inlineStr"/>
      <c r="N35" s="29" t="inlineStr">
        <is>
          <t>Avtomatlashtirilmagan</t>
        </is>
      </c>
      <c r="O35" s="27" t="inlineStr"/>
      <c r="P35" s="29" t="inlineStr">
        <is>
          <t>Bajarilmagan</t>
        </is>
      </c>
      <c r="Q35" s="27" t="inlineStr"/>
    </row>
    <row r="36" ht="48" customHeight="1">
      <c r="A36" s="26" t="inlineStr">
        <is>
          <t>INV-007</t>
        </is>
      </c>
      <c r="B36" s="27" t="inlineStr">
        <is>
          <t>Inventarizatsiya</t>
        </is>
      </c>
      <c r="C36" s="27" t="inlineStr">
        <is>
          <t>Online</t>
        </is>
      </c>
      <c r="D36" s="28" t="inlineStr">
        <is>
          <t>Online inventarizatsiya: bo'sh qatorlar o'tkazib yuboriladi</t>
        </is>
      </c>
      <c r="E36" s="29" t="inlineStr">
        <is>
          <t>P2</t>
        </is>
      </c>
      <c r="F36" s="29" t="inlineStr">
        <is>
          <t>Functional</t>
        </is>
      </c>
      <c r="G36" s="27" t="inlineStr">
        <is>
          <t>Admin panelga test akkaunti bilan kirilgan (to'liq huquqlar)</t>
        </is>
      </c>
      <c r="H36" s="27" t="inlineStr">
        <is>
          <t>1. Tur — Online
2. Faktni faqat 2 qatorda to'ldirish
3. Nashr qilish</t>
        </is>
      </c>
      <c r="I36" s="27" t="inlineStr"/>
      <c r="J36" s="27" t="inlineStr">
        <is>
          <t>Faqat to'ldirilgan qatorlar o'zgaradi; bo'shlarida harakat yo'q</t>
        </is>
      </c>
      <c r="K36" s="27" t="inlineStr"/>
      <c r="L36" s="29" t="inlineStr">
        <is>
          <t>Ha</t>
        </is>
      </c>
      <c r="M36" s="27" t="inlineStr"/>
      <c r="N36" s="29" t="inlineStr">
        <is>
          <t>Avtomatlashtirilmagan</t>
        </is>
      </c>
      <c r="O36" s="27" t="inlineStr"/>
      <c r="P36" s="29" t="inlineStr">
        <is>
          <t>Bajarilmagan</t>
        </is>
      </c>
      <c r="Q36" s="27" t="inlineStr"/>
    </row>
    <row r="37" ht="48" customHeight="1">
      <c r="A37" s="26" t="inlineStr">
        <is>
          <t>INV-008</t>
        </is>
      </c>
      <c r="B37" s="27" t="inlineStr">
        <is>
          <t>Inventarizatsiya</t>
        </is>
      </c>
      <c r="C37" s="27" t="inlineStr">
        <is>
          <t>Nashr</t>
        </is>
      </c>
      <c r="D37" s="28" t="inlineStr">
        <is>
          <t>Inventarizatsiyani nashr qilish</t>
        </is>
      </c>
      <c r="E37" s="29" t="inlineStr">
        <is>
          <t>P1</t>
        </is>
      </c>
      <c r="F37" s="29" t="inlineStr">
        <is>
          <t>Functional</t>
        </is>
      </c>
      <c r="G37" s="27" t="inlineStr">
        <is>
          <t>Admin panelga test akkaunti bilan kirilgan (to'liq huquqlar); fayl yuklangan</t>
        </is>
      </c>
      <c r="H37" s="27" t="inlineStr">
        <is>
          <t>1. Nashr qilish</t>
        </is>
      </c>
      <c r="I37" s="27" t="inlineStr"/>
      <c r="J37" s="27" t="inlineStr">
        <is>
          <t>Qoldiqlar = fakt; harakat tarixi yoziladi; ombor muzlatishdan chiqadi; status «Nashr qilingan»</t>
        </is>
      </c>
      <c r="K37" s="27" t="inlineStr"/>
      <c r="L37" s="29" t="inlineStr">
        <is>
          <t>Ha</t>
        </is>
      </c>
      <c r="M37" s="27" t="inlineStr"/>
      <c r="N37" s="29" t="inlineStr">
        <is>
          <t>Avtomatlashtirilmagan</t>
        </is>
      </c>
      <c r="O37" s="27" t="inlineStr"/>
      <c r="P37" s="29" t="inlineStr">
        <is>
          <t>Bajarilmagan</t>
        </is>
      </c>
      <c r="Q37" s="27" t="inlineStr"/>
    </row>
    <row r="38" ht="48" customHeight="1">
      <c r="A38" s="30" t="inlineStr">
        <is>
          <t>TRF-001</t>
        </is>
      </c>
      <c r="B38" s="31" t="inlineStr">
        <is>
          <t>Mahsulot yuborish (o'tkazma)</t>
        </is>
      </c>
      <c r="C38" s="31" t="inlineStr">
        <is>
          <t>Ro'yxat</t>
        </is>
      </c>
      <c r="D38" s="32" t="inlineStr">
        <is>
          <t>O'tkazmalar ro'yxati va tablar</t>
        </is>
      </c>
      <c r="E38" s="33" t="inlineStr">
        <is>
          <t>P2</t>
        </is>
      </c>
      <c r="F38" s="33" t="inlineStr">
        <is>
          <t>Functional</t>
        </is>
      </c>
      <c r="G38" s="31" t="inlineStr">
        <is>
          <t>Admin panelga test akkaunti bilan kirilgan (to'liq huquqlar)</t>
        </is>
      </c>
      <c r="H38" s="31" t="inlineStr">
        <is>
          <t>1. Mahsulotlar amallari → Mahsulot yuborish
2. Tablar: Hammasi / O'tkazma / So'rov</t>
        </is>
      </c>
      <c r="I38" s="31" t="inlineStr"/>
      <c r="J38" s="31" t="inlineStr">
        <is>
          <t>Ustunlar: ID, turi, yaratilgan sana, qaysi ombordan, qaysi omborga, narx, jo'natilgan, qabul qilingan sana, izoh, holat; tablar tur bo'yicha filtrlaydi</t>
        </is>
      </c>
      <c r="K38" s="31" t="inlineStr"/>
      <c r="L38" s="33" t="inlineStr">
        <is>
          <t>Ha</t>
        </is>
      </c>
      <c r="M38" s="31" t="inlineStr"/>
      <c r="N38" s="33" t="inlineStr">
        <is>
          <t>Avtomatlashtirilmagan</t>
        </is>
      </c>
      <c r="O38" s="31" t="inlineStr"/>
      <c r="P38" s="33" t="inlineStr">
        <is>
          <t>Bajarilmagan</t>
        </is>
      </c>
      <c r="Q38" s="31" t="inlineStr"/>
    </row>
    <row r="39" ht="48" customHeight="1">
      <c r="A39" s="30" t="inlineStr">
        <is>
          <t>TRF-002</t>
        </is>
      </c>
      <c r="B39" s="31" t="inlineStr">
        <is>
          <t>Mahsulot yuborish (o'tkazma)</t>
        </is>
      </c>
      <c r="C39" s="31" t="inlineStr">
        <is>
          <t>O'tkazma</t>
        </is>
      </c>
      <c r="D39" s="32" t="inlineStr">
        <is>
          <t>O'tkazma yaratish</t>
        </is>
      </c>
      <c r="E39" s="33" t="inlineStr">
        <is>
          <t>P1</t>
        </is>
      </c>
      <c r="F39" s="33" t="inlineStr">
        <is>
          <t>Smoke</t>
        </is>
      </c>
      <c r="G39" s="31" t="inlineStr">
        <is>
          <t>Admin panelga test akkaunti bilan kirilgan (to'liq huquqlar)</t>
        </is>
      </c>
      <c r="H39" s="31" t="inlineStr">
        <is>
          <t>1. O'tkazma yaratish: jo'natuvchi (o'z ombori), qabul qiluvchi, mahsulotlar va miqdor
2. Saqlash</t>
        </is>
      </c>
      <c r="I39" s="31" t="inlineStr"/>
      <c r="J39" s="31" t="inlineStr">
        <is>
          <t>Status «Yaratilgan»; jo'natuvchi qoldig'i band qilinadi (bo'sh qoldiq + hujjat bandi ko'rsatiladi)</t>
        </is>
      </c>
      <c r="K39" s="31" t="inlineStr">
        <is>
          <t>PRD Product Transfer</t>
        </is>
      </c>
      <c r="L39" s="33" t="inlineStr">
        <is>
          <t>Ha</t>
        </is>
      </c>
      <c r="M39" s="31" t="inlineStr"/>
      <c r="N39" s="33" t="inlineStr">
        <is>
          <t>Avtomatlashtirilmagan</t>
        </is>
      </c>
      <c r="O39" s="31" t="inlineStr"/>
      <c r="P39" s="33" t="inlineStr">
        <is>
          <t>Bajarilmagan</t>
        </is>
      </c>
      <c r="Q39" s="31" t="inlineStr"/>
    </row>
    <row r="40" ht="48" customHeight="1">
      <c r="A40" s="30" t="inlineStr">
        <is>
          <t>TRF-003</t>
        </is>
      </c>
      <c r="B40" s="31" t="inlineStr">
        <is>
          <t>Mahsulot yuborish (o'tkazma)</t>
        </is>
      </c>
      <c r="C40" s="31" t="inlineStr">
        <is>
          <t>O'tkazma</t>
        </is>
      </c>
      <c r="D40" s="32" t="inlineStr">
        <is>
          <t>Jo'natish va qabul qilish</t>
        </is>
      </c>
      <c r="E40" s="33" t="inlineStr">
        <is>
          <t>P1</t>
        </is>
      </c>
      <c r="F40" s="33" t="inlineStr">
        <is>
          <t>Smoke</t>
        </is>
      </c>
      <c r="G40" s="31" t="inlineStr">
        <is>
          <t>O'tkazma «Yaratilgan»</t>
        </is>
      </c>
      <c r="H40" s="31" t="inlineStr">
        <is>
          <t>1. Jo'natuvchi: «Jo'natish»
2. Qabul qiluvchi: «Qabul qilish»</t>
        </is>
      </c>
      <c r="I40" s="31" t="inlineStr"/>
      <c r="J40" s="31" t="inlineStr">
        <is>
          <t>«Yo'lda» → «Qabul qilingan»; mahsulot jo'natuvchidan chiqariladi va qabul qiluvchiga qo'shiladi; jo'natish/qabul sanalari to'ldiriladi</t>
        </is>
      </c>
      <c r="K40" s="31" t="inlineStr"/>
      <c r="L40" s="33" t="inlineStr">
        <is>
          <t>Ha</t>
        </is>
      </c>
      <c r="M40" s="31" t="inlineStr"/>
      <c r="N40" s="33" t="inlineStr">
        <is>
          <t>Avtomatlashtirilmagan</t>
        </is>
      </c>
      <c r="O40" s="31" t="inlineStr"/>
      <c r="P40" s="33" t="inlineStr">
        <is>
          <t>Bajarilmagan</t>
        </is>
      </c>
      <c r="Q40" s="31" t="inlineStr"/>
    </row>
    <row r="41" ht="34" customHeight="1">
      <c r="A41" s="30" t="inlineStr">
        <is>
          <t>TRF-004</t>
        </is>
      </c>
      <c r="B41" s="31" t="inlineStr">
        <is>
          <t>Mahsulot yuborish (o'tkazma)</t>
        </is>
      </c>
      <c r="C41" s="31" t="inlineStr">
        <is>
          <t>O'tkazma</t>
        </is>
      </c>
      <c r="D41" s="32" t="inlineStr">
        <is>
          <t>O'tkazmani qaytarish va qayta jo'natish</t>
        </is>
      </c>
      <c r="E41" s="33" t="inlineStr">
        <is>
          <t>P2</t>
        </is>
      </c>
      <c r="F41" s="33" t="inlineStr">
        <is>
          <t>Functional</t>
        </is>
      </c>
      <c r="G41" s="31" t="inlineStr">
        <is>
          <t>O'tkazma «Yo'lda»</t>
        </is>
      </c>
      <c r="H41" s="31" t="inlineStr">
        <is>
          <t>1. Qabul qiluvchi: «Qaytarish»
2. Jo'natuvchi tahrirlab qayta jo'natadi</t>
        </is>
      </c>
      <c r="I41" s="31" t="inlineStr"/>
      <c r="J41" s="31" t="inlineStr">
        <is>
          <t>«Qaytarilgan» → yana «Yo'lda»; qabul qiluvchi «Qaytarilgan»da faqat ko'radi</t>
        </is>
      </c>
      <c r="K41" s="31" t="inlineStr"/>
      <c r="L41" s="33" t="inlineStr">
        <is>
          <t>Ha</t>
        </is>
      </c>
      <c r="M41" s="31" t="inlineStr"/>
      <c r="N41" s="33" t="inlineStr">
        <is>
          <t>Avtomatlashtirilmagan</t>
        </is>
      </c>
      <c r="O41" s="31" t="inlineStr"/>
      <c r="P41" s="33" t="inlineStr">
        <is>
          <t>Bajarilmagan</t>
        </is>
      </c>
      <c r="Q41" s="31" t="inlineStr"/>
    </row>
    <row r="42" ht="34" customHeight="1">
      <c r="A42" s="30" t="inlineStr">
        <is>
          <t>TRF-005</t>
        </is>
      </c>
      <c r="B42" s="31" t="inlineStr">
        <is>
          <t>Mahsulot yuborish (o'tkazma)</t>
        </is>
      </c>
      <c r="C42" s="31" t="inlineStr">
        <is>
          <t>O'tkazma</t>
        </is>
      </c>
      <c r="D42" s="32" t="inlineStr">
        <is>
          <t>O'tkazmani bekor qilish</t>
        </is>
      </c>
      <c r="E42" s="33" t="inlineStr">
        <is>
          <t>P1</t>
        </is>
      </c>
      <c r="F42" s="33" t="inlineStr">
        <is>
          <t>Functional</t>
        </is>
      </c>
      <c r="G42" s="31" t="inlineStr">
        <is>
          <t>O'tkazma «Yaratilgan»</t>
        </is>
      </c>
      <c r="H42" s="31" t="inlineStr">
        <is>
          <t>1. «Bekor qilish»</t>
        </is>
      </c>
      <c r="I42" s="31" t="inlineStr"/>
      <c r="J42" s="31" t="inlineStr">
        <is>
          <t>Status «Bekor qilingan», band jo'natuvchi omborga qaytadi</t>
        </is>
      </c>
      <c r="K42" s="31" t="inlineStr"/>
      <c r="L42" s="33" t="inlineStr">
        <is>
          <t>Ha</t>
        </is>
      </c>
      <c r="M42" s="31" t="inlineStr"/>
      <c r="N42" s="33" t="inlineStr">
        <is>
          <t>Avtomatlashtirilmagan</t>
        </is>
      </c>
      <c r="O42" s="31" t="inlineStr"/>
      <c r="P42" s="33" t="inlineStr">
        <is>
          <t>Bajarilmagan</t>
        </is>
      </c>
      <c r="Q42" s="31" t="inlineStr"/>
    </row>
    <row r="43" ht="34" customHeight="1">
      <c r="A43" s="30" t="inlineStr">
        <is>
          <t>TRF-006</t>
        </is>
      </c>
      <c r="B43" s="31" t="inlineStr">
        <is>
          <t>Mahsulot yuborish (o'tkazma)</t>
        </is>
      </c>
      <c r="C43" s="31" t="inlineStr">
        <is>
          <t>Huquqlar</t>
        </is>
      </c>
      <c r="D43" s="32" t="inlineStr">
        <is>
          <t>Jo'natuvchi faqat o'z omboridan</t>
        </is>
      </c>
      <c r="E43" s="33" t="inlineStr">
        <is>
          <t>P1</t>
        </is>
      </c>
      <c r="F43" s="33" t="inlineStr">
        <is>
          <t>Security</t>
        </is>
      </c>
      <c r="G43" s="31" t="inlineStr">
        <is>
          <t>Foydalanuvchi A omboriga biriktirilgan</t>
        </is>
      </c>
      <c r="H43" s="31" t="inlineStr">
        <is>
          <t>1. O'tkazma yaratish</t>
        </is>
      </c>
      <c r="I43" s="31" t="inlineStr"/>
      <c r="J43" s="31" t="inlineStr">
        <is>
          <t>Jo'natuvchida faqat A ombori; qabul qiluvchi tahrirlay/jo'nata olmaydi</t>
        </is>
      </c>
      <c r="K43" s="31" t="inlineStr">
        <is>
          <t>PRD Transfer permission</t>
        </is>
      </c>
      <c r="L43" s="33" t="inlineStr">
        <is>
          <t>Qisman</t>
        </is>
      </c>
      <c r="M43" s="31" t="inlineStr">
        <is>
          <t>Sotuvchi akkaunti kerak</t>
        </is>
      </c>
      <c r="N43" s="33" t="inlineStr">
        <is>
          <t>Avtomatlashtirilmagan</t>
        </is>
      </c>
      <c r="O43" s="31" t="inlineStr"/>
      <c r="P43" s="33" t="inlineStr">
        <is>
          <t>Bajarilmagan</t>
        </is>
      </c>
      <c r="Q43" s="31" t="inlineStr"/>
    </row>
    <row r="44" ht="62" customHeight="1">
      <c r="A44" s="30" t="inlineStr">
        <is>
          <t>TRF-007</t>
        </is>
      </c>
      <c r="B44" s="31" t="inlineStr">
        <is>
          <t>Mahsulot yuborish (o'tkazma)</t>
        </is>
      </c>
      <c r="C44" s="31" t="inlineStr">
        <is>
          <t>So'rov</t>
        </is>
      </c>
      <c r="D44" s="32" t="inlineStr">
        <is>
          <t>Mahsulot so'rovi (So'rov)</t>
        </is>
      </c>
      <c r="E44" s="33" t="inlineStr">
        <is>
          <t>P1</t>
        </is>
      </c>
      <c r="F44" s="33" t="inlineStr">
        <is>
          <t>Functional</t>
        </is>
      </c>
      <c r="G44" s="31" t="inlineStr">
        <is>
          <t>Qabul qiluvchi ombor foydalanuvchisi</t>
        </is>
      </c>
      <c r="H44" s="31" t="inlineStr">
        <is>
          <t>1. «So'rov yaratish»: egasi ombor, mahsulotlar, miqdor
2. Egasi tasdiqlab jo'natadi
3. Qabul qiluvchi qabul qiladi</t>
        </is>
      </c>
      <c r="I44" s="31" t="inlineStr"/>
      <c r="J44" s="31" t="inlineStr">
        <is>
          <t>Qoralama → So'ralgan → (tasdiq) Yaratilgan → Yo'lda → Qabul qilingan; «So'ralgan miqdor» ustuni saqlanadi; «So'rov» belgisi</t>
        </is>
      </c>
      <c r="K44" s="31" t="inlineStr"/>
      <c r="L44" s="33" t="inlineStr">
        <is>
          <t>Ha</t>
        </is>
      </c>
      <c r="M44" s="31" t="inlineStr"/>
      <c r="N44" s="33" t="inlineStr">
        <is>
          <t>Avtomatlashtirilmagan</t>
        </is>
      </c>
      <c r="O44" s="31" t="inlineStr"/>
      <c r="P44" s="33" t="inlineStr">
        <is>
          <t>Bajarilmagan</t>
        </is>
      </c>
      <c r="Q44" s="31" t="inlineStr"/>
    </row>
    <row r="45" ht="34" customHeight="1">
      <c r="A45" s="30" t="inlineStr">
        <is>
          <t>TRF-008</t>
        </is>
      </c>
      <c r="B45" s="31" t="inlineStr">
        <is>
          <t>Mahsulot yuborish (o'tkazma)</t>
        </is>
      </c>
      <c r="C45" s="31" t="inlineStr">
        <is>
          <t>So'rov</t>
        </is>
      </c>
      <c r="D45" s="32" t="inlineStr">
        <is>
          <t>So'ralgan miqdordan farq izoh talab qiladi</t>
        </is>
      </c>
      <c r="E45" s="33" t="inlineStr">
        <is>
          <t>P2</t>
        </is>
      </c>
      <c r="F45" s="33" t="inlineStr">
        <is>
          <t>Negative</t>
        </is>
      </c>
      <c r="G45" s="31" t="inlineStr">
        <is>
          <t>10 donaga so'rov</t>
        </is>
      </c>
      <c r="H45" s="31" t="inlineStr">
        <is>
          <t>1. Tasdiqlashda izohsiz 7 dona ko'rsatish
2. Izoh kiritish</t>
        </is>
      </c>
      <c r="I45" s="31" t="inlineStr"/>
      <c r="J45" s="31" t="inlineStr">
        <is>
          <t>Izohsiz saqlab bo'lmaydi; izoh bilan — mumkin</t>
        </is>
      </c>
      <c r="K45" s="31" t="inlineStr"/>
      <c r="L45" s="33" t="inlineStr">
        <is>
          <t>Ha</t>
        </is>
      </c>
      <c r="M45" s="31" t="inlineStr"/>
      <c r="N45" s="33" t="inlineStr">
        <is>
          <t>Avtomatlashtirilmagan</t>
        </is>
      </c>
      <c r="O45" s="31" t="inlineStr"/>
      <c r="P45" s="33" t="inlineStr">
        <is>
          <t>Bajarilmagan</t>
        </is>
      </c>
      <c r="Q45" s="31" t="inlineStr"/>
    </row>
    <row r="46" ht="34" customHeight="1">
      <c r="A46" s="30" t="inlineStr">
        <is>
          <t>TRF-009</t>
        </is>
      </c>
      <c r="B46" s="31" t="inlineStr">
        <is>
          <t>Mahsulot yuborish (o'tkazma)</t>
        </is>
      </c>
      <c r="C46" s="31" t="inlineStr">
        <is>
          <t>Bildirishnomalar</t>
        </is>
      </c>
      <c r="D46" s="32" t="inlineStr">
        <is>
          <t>Qo'ng'iroqchadagi o'tkazma bildirishnomalari</t>
        </is>
      </c>
      <c r="E46" s="33" t="inlineStr">
        <is>
          <t>P3</t>
        </is>
      </c>
      <c r="F46" s="33" t="inlineStr">
        <is>
          <t>Functional</t>
        </is>
      </c>
      <c r="G46" s="31" t="inlineStr">
        <is>
          <t>Turli omborlarning ikki foydalanuvchisi</t>
        </is>
      </c>
      <c r="H46" s="31" t="inlineStr">
        <is>
          <t>1. O'tkazmani jo'natish
2. Uni qaytarish</t>
        </is>
      </c>
      <c r="I46" s="31" t="inlineStr"/>
      <c r="J46" s="31" t="inlineStr">
        <is>
          <t>Qabul qiluvchiga «Jo'natildi», jo'natuvchiga «Qaytarildi»; qo'lda yaratilgan «Yaratildi» yubormaydi</t>
        </is>
      </c>
      <c r="K46" s="31" t="inlineStr">
        <is>
          <t>PRD Transfer Notifications</t>
        </is>
      </c>
      <c r="L46" s="33" t="inlineStr">
        <is>
          <t>Qisman</t>
        </is>
      </c>
      <c r="M46" s="31" t="inlineStr"/>
      <c r="N46" s="33" t="inlineStr">
        <is>
          <t>Avtomatlashtirilmagan</t>
        </is>
      </c>
      <c r="O46" s="31" t="inlineStr"/>
      <c r="P46" s="33" t="inlineStr">
        <is>
          <t>Bajarilmagan</t>
        </is>
      </c>
      <c r="Q46" s="31" t="inlineStr"/>
    </row>
    <row r="47" ht="34" customHeight="1">
      <c r="A47" s="30" t="inlineStr">
        <is>
          <t>TRF-010</t>
        </is>
      </c>
      <c r="B47" s="31" t="inlineStr">
        <is>
          <t>Mahsulot yuborish (o'tkazma)</t>
        </is>
      </c>
      <c r="C47" s="31" t="inlineStr">
        <is>
          <t>Chop etish</t>
        </is>
      </c>
      <c r="D47" s="32" t="inlineStr">
        <is>
          <t>O'tkazma hujjatini chop etish</t>
        </is>
      </c>
      <c r="E47" s="33" t="inlineStr">
        <is>
          <t>P3</t>
        </is>
      </c>
      <c r="F47" s="33" t="inlineStr">
        <is>
          <t>UI</t>
        </is>
      </c>
      <c r="G47" s="31" t="inlineStr">
        <is>
          <t>O'tkazma bor</t>
        </is>
      </c>
      <c r="H47" s="31" t="inlineStr">
        <is>
          <t>1. Ochish
2. «Chop etish»</t>
        </is>
      </c>
      <c r="I47" s="31" t="inlineStr"/>
      <c r="J47" s="31" t="inlineStr">
        <is>
          <t>Mahsulotlar, miqdor, omborlar bilan chop etish shakli</t>
        </is>
      </c>
      <c r="K47" s="31" t="inlineStr"/>
      <c r="L47" s="33" t="inlineStr">
        <is>
          <t>Ha</t>
        </is>
      </c>
      <c r="M47" s="31" t="inlineStr"/>
      <c r="N47" s="33" t="inlineStr">
        <is>
          <t>Avtomatlashtirilmagan</t>
        </is>
      </c>
      <c r="O47" s="31" t="inlineStr"/>
      <c r="P47" s="33" t="inlineStr">
        <is>
          <t>Bajarilmagan</t>
        </is>
      </c>
      <c r="Q47" s="31" t="inlineStr"/>
    </row>
    <row r="48" ht="48" customHeight="1">
      <c r="A48" s="26" t="inlineStr">
        <is>
          <t>PVAR-001</t>
        </is>
      </c>
      <c r="B48" s="27" t="inlineStr">
        <is>
          <t>Mahsulot varianti (ehtiyoj)</t>
        </is>
      </c>
      <c r="C48" s="27" t="inlineStr">
        <is>
          <t>Ehtiyoj</t>
        </is>
      </c>
      <c r="D48" s="28" t="inlineStr">
        <is>
          <t>Kerakli / Keraksiz belgisi</t>
        </is>
      </c>
      <c r="E48" s="29" t="inlineStr">
        <is>
          <t>P3</t>
        </is>
      </c>
      <c r="F48" s="29" t="inlineStr">
        <is>
          <t>Functional</t>
        </is>
      </c>
      <c r="G48" s="27" t="inlineStr">
        <is>
          <t>Admin panelga test akkaunti bilan kirilgan (to'liq huquqlar)</t>
        </is>
      </c>
      <c r="H48" s="27" t="inlineStr">
        <is>
          <t>1. Mahsulotlar amallari → Mahsulot varianti
2. Qatorlarni tanlash
3. «Necessary» / «Unnecessary»</t>
        </is>
      </c>
      <c r="I48" s="27" t="inlineStr"/>
      <c r="J48" s="27" t="inlineStr">
        <is>
          <t>Tanlanganlarda Isnecessary ustuni yangilanadi</t>
        </is>
      </c>
      <c r="K48" s="27" t="inlineStr"/>
      <c r="L48" s="29" t="inlineStr">
        <is>
          <t>Ha</t>
        </is>
      </c>
      <c r="M48" s="27" t="inlineStr"/>
      <c r="N48" s="29" t="inlineStr">
        <is>
          <t>Avtomatlashtirilmagan</t>
        </is>
      </c>
      <c r="O48" s="27" t="inlineStr"/>
      <c r="P48" s="29" t="inlineStr">
        <is>
          <t>Bajarilmagan</t>
        </is>
      </c>
      <c r="Q48" s="27" t="inlineStr"/>
    </row>
    <row r="49" ht="48" customHeight="1">
      <c r="A49" s="26" t="inlineStr">
        <is>
          <t>PVAR-002</t>
        </is>
      </c>
      <c r="B49" s="27" t="inlineStr">
        <is>
          <t>Mahsulot varianti (ehtiyoj)</t>
        </is>
      </c>
      <c r="C49" s="27" t="inlineStr">
        <is>
          <t>Ehtiyoj</t>
        </is>
      </c>
      <c r="D49" s="28" t="inlineStr">
        <is>
          <t>«Add normative day» va yuklab olish</t>
        </is>
      </c>
      <c r="E49" s="29" t="inlineStr">
        <is>
          <t>P3</t>
        </is>
      </c>
      <c r="F49" s="29" t="inlineStr">
        <is>
          <t>Functional</t>
        </is>
      </c>
      <c r="G49" s="27" t="inlineStr">
        <is>
          <t>Admin panelga test akkaunti bilan kirilgan (to'liq huquqlar)</t>
        </is>
      </c>
      <c r="H49" s="27" t="inlineStr">
        <is>
          <t>1. Qatorlarni tanlash → «Add normative day»
2. «Yuklab olish»</t>
        </is>
      </c>
      <c r="I49" s="27" t="inlineStr"/>
      <c r="J49" s="27" t="inlineStr">
        <is>
          <t>Normativ kunlar saqlanadi; Excel jadval bilan mos</t>
        </is>
      </c>
      <c r="K49" s="27" t="inlineStr"/>
      <c r="L49" s="29" t="inlineStr">
        <is>
          <t>Ha</t>
        </is>
      </c>
      <c r="M49" s="27" t="inlineStr"/>
      <c r="N49" s="29" t="inlineStr">
        <is>
          <t>Avtomatlashtirilmagan</t>
        </is>
      </c>
      <c r="O49" s="27" t="inlineStr"/>
      <c r="P49" s="29" t="inlineStr">
        <is>
          <t>Bajarilmagan</t>
        </is>
      </c>
      <c r="Q49" s="27" t="inlineStr"/>
    </row>
    <row r="50" ht="62" customHeight="1">
      <c r="A50" s="30" t="inlineStr">
        <is>
          <t>DISC-001</t>
        </is>
      </c>
      <c r="B50" s="31" t="inlineStr">
        <is>
          <t>Chegirma va aksiyalar</t>
        </is>
      </c>
      <c r="C50" s="31" t="inlineStr">
        <is>
          <t>Yaratish</t>
        </is>
      </c>
      <c r="D50" s="32" t="inlineStr">
        <is>
          <t>Aksiya yaratish</t>
        </is>
      </c>
      <c r="E50" s="33" t="inlineStr">
        <is>
          <t>P1</t>
        </is>
      </c>
      <c r="F50" s="33" t="inlineStr">
        <is>
          <t>Smoke</t>
        </is>
      </c>
      <c r="G50" s="31" t="inlineStr">
        <is>
          <t>Admin panelga test akkaunti bilan kirilgan (to'liq huquqlar)</t>
        </is>
      </c>
      <c r="H50" s="31" t="inlineStr">
        <is>
          <t>1. Mahsulotlar amallari → Chegirma → «Yaratish»
2. Sanalar, omborlar, nomlar UZ/RU/EN
3. «Add» mahsulotlar, B2C/B2M/B2B chegirma narxlari
4. «Saqlash»</t>
        </is>
      </c>
      <c r="I50" s="31" t="inlineStr"/>
      <c r="J50" s="31" t="inlineStr">
        <is>
          <t>Aksiya yaratiladi; har bir narx turi bo'yicha % hisoblanadi</t>
        </is>
      </c>
      <c r="K50" s="31" t="inlineStr">
        <is>
          <t>PRD Discount US1</t>
        </is>
      </c>
      <c r="L50" s="33" t="inlineStr">
        <is>
          <t>Ha</t>
        </is>
      </c>
      <c r="M50" s="31" t="inlineStr"/>
      <c r="N50" s="33" t="inlineStr">
        <is>
          <t>Avtomatlashtirilmagan</t>
        </is>
      </c>
      <c r="O50" s="31" t="inlineStr"/>
      <c r="P50" s="33" t="inlineStr">
        <is>
          <t>Bajarilmagan</t>
        </is>
      </c>
      <c r="Q50" s="31" t="inlineStr"/>
    </row>
    <row r="51" ht="48" customHeight="1">
      <c r="A51" s="30" t="inlineStr">
        <is>
          <t>DISC-002</t>
        </is>
      </c>
      <c r="B51" s="31" t="inlineStr">
        <is>
          <t>Chegirma va aksiyalar</t>
        </is>
      </c>
      <c r="C51" s="31" t="inlineStr">
        <is>
          <t>Validatsiya</t>
        </is>
      </c>
      <c r="D51" s="32" t="inlineStr">
        <is>
          <t>Chegirma narxi joriy narxdan yuqori</t>
        </is>
      </c>
      <c r="E51" s="33" t="inlineStr">
        <is>
          <t>P1</t>
        </is>
      </c>
      <c r="F51" s="33" t="inlineStr">
        <is>
          <t>Negative</t>
        </is>
      </c>
      <c r="G51" s="31" t="inlineStr">
        <is>
          <t>Admin panelga test akkaunti bilan kirilgan (to'liq huquqlar)</t>
        </is>
      </c>
      <c r="H51" s="31" t="inlineStr">
        <is>
          <t>1. Chegirma narxini joriy narxdan yuqori qo'yish
2. «Saqlash»</t>
        </is>
      </c>
      <c r="I51" s="31" t="inlineStr"/>
      <c r="J51" s="31" t="inlineStr">
        <is>
          <t>Xato; narxga teng bo'lsa ruxsat</t>
        </is>
      </c>
      <c r="K51" s="31" t="inlineStr">
        <is>
          <t>PRD Mijozga xos chegirma</t>
        </is>
      </c>
      <c r="L51" s="33" t="inlineStr">
        <is>
          <t>Ha</t>
        </is>
      </c>
      <c r="M51" s="31" t="inlineStr"/>
      <c r="N51" s="33" t="inlineStr">
        <is>
          <t>Avtomatlashtirilmagan</t>
        </is>
      </c>
      <c r="O51" s="31" t="inlineStr"/>
      <c r="P51" s="33" t="inlineStr">
        <is>
          <t>Bajarilmagan</t>
        </is>
      </c>
      <c r="Q51" s="31" t="inlineStr"/>
    </row>
    <row r="52" ht="48" customHeight="1">
      <c r="A52" s="30" t="inlineStr">
        <is>
          <t>DISC-003</t>
        </is>
      </c>
      <c r="B52" s="31" t="inlineStr">
        <is>
          <t>Chegirma va aksiyalar</t>
        </is>
      </c>
      <c r="C52" s="31" t="inlineStr">
        <is>
          <t>Statuslar</t>
        </is>
      </c>
      <c r="D52" s="32" t="inlineStr">
        <is>
          <t>Aksiyaning avtomatik statuslari</t>
        </is>
      </c>
      <c r="E52" s="33" t="inlineStr">
        <is>
          <t>P1</t>
        </is>
      </c>
      <c r="F52" s="33" t="inlineStr">
        <is>
          <t>Functional</t>
        </is>
      </c>
      <c r="G52" s="31" t="inlineStr">
        <is>
          <t>Admin panelga test akkaunti bilan kirilgan (to'liq huquqlar)</t>
        </is>
      </c>
      <c r="H52" s="31" t="inlineStr">
        <is>
          <t>1. Ertadan boshlanadigan aksiya yaratish
2. Joriy sanalar bilan
3. O'tgan sanalar bilan</t>
        </is>
      </c>
      <c r="I52" s="31" t="inlineStr"/>
      <c r="J52" s="31" t="inlineStr">
        <is>
          <t>Upcoming / Active / Expired sanalarga qarab avtomatik</t>
        </is>
      </c>
      <c r="K52" s="31" t="inlineStr"/>
      <c r="L52" s="33" t="inlineStr">
        <is>
          <t>Ha</t>
        </is>
      </c>
      <c r="M52" s="31" t="inlineStr"/>
      <c r="N52" s="33" t="inlineStr">
        <is>
          <t>Avtomatlashtirilmagan</t>
        </is>
      </c>
      <c r="O52" s="31" t="inlineStr"/>
      <c r="P52" s="33" t="inlineStr">
        <is>
          <t>Bajarilmagan</t>
        </is>
      </c>
      <c r="Q52" s="31" t="inlineStr"/>
    </row>
    <row r="53" ht="34" customHeight="1">
      <c r="A53" s="30" t="inlineStr">
        <is>
          <t>DISC-004</t>
        </is>
      </c>
      <c r="B53" s="31" t="inlineStr">
        <is>
          <t>Chegirma va aksiyalar</t>
        </is>
      </c>
      <c r="C53" s="31" t="inlineStr">
        <is>
          <t>Statuslar</t>
        </is>
      </c>
      <c r="D53" s="32" t="inlineStr">
        <is>
          <t>Tahrirlash va bekor qilish</t>
        </is>
      </c>
      <c r="E53" s="33" t="inlineStr">
        <is>
          <t>P2</t>
        </is>
      </c>
      <c r="F53" s="33" t="inlineStr">
        <is>
          <t>Functional</t>
        </is>
      </c>
      <c r="G53" s="31" t="inlineStr">
        <is>
          <t>Upcoming, Active, Expired, Cancelled aksiyalar</t>
        </is>
      </c>
      <c r="H53" s="31" t="inlineStr">
        <is>
          <t>1. Har birini o'zgartirish/bekor qilish</t>
        </is>
      </c>
      <c r="I53" s="31" t="inlineStr"/>
      <c r="J53" s="31" t="inlineStr">
        <is>
          <t>Faqat Upcoming va Active tahrirlanadi/bekor qilinadi; Cancelled va Expired — faqat ko'rish</t>
        </is>
      </c>
      <c r="K53" s="31" t="inlineStr"/>
      <c r="L53" s="33" t="inlineStr">
        <is>
          <t>Ha</t>
        </is>
      </c>
      <c r="M53" s="31" t="inlineStr"/>
      <c r="N53" s="33" t="inlineStr">
        <is>
          <t>Avtomatlashtirilmagan</t>
        </is>
      </c>
      <c r="O53" s="31" t="inlineStr"/>
      <c r="P53" s="33" t="inlineStr">
        <is>
          <t>Bajarilmagan</t>
        </is>
      </c>
      <c r="Q53" s="31" t="inlineStr"/>
    </row>
    <row r="54" ht="34" customHeight="1">
      <c r="A54" s="30" t="inlineStr">
        <is>
          <t>DISC-005</t>
        </is>
      </c>
      <c r="B54" s="31" t="inlineStr">
        <is>
          <t>Chegirma va aksiyalar</t>
        </is>
      </c>
      <c r="C54" s="31" t="inlineStr">
        <is>
          <t>Vitrina</t>
        </is>
      </c>
      <c r="D54" s="32" t="inlineStr">
        <is>
          <t>Aksiya vitrinada faqat o'z narx turi uchun</t>
        </is>
      </c>
      <c r="E54" s="33" t="inlineStr">
        <is>
          <t>P1</t>
        </is>
      </c>
      <c r="F54" s="33" t="inlineStr">
        <is>
          <t>Integration</t>
        </is>
      </c>
      <c r="G54" s="31" t="inlineStr">
        <is>
          <t>Faqat B2C bo'yicha faol aksiya</t>
        </is>
      </c>
      <c r="H54" s="31" t="inlineStr">
        <is>
          <t>1. Mahsulotni mijoz va usta sifatida ochish</t>
        </is>
      </c>
      <c r="I54" s="31" t="inlineStr"/>
      <c r="J54" s="31" t="inlineStr">
        <is>
          <t>Mijoz -%, chizilgan narx va «N kun»ni ko'radi; usta — chegirmasiz</t>
        </is>
      </c>
      <c r="K54" s="31" t="inlineStr">
        <is>
          <t>PRD Mijozga xos chegirma (AIDT-817)</t>
        </is>
      </c>
      <c r="L54" s="33" t="inlineStr">
        <is>
          <t>Qisman</t>
        </is>
      </c>
      <c r="M54" s="31" t="inlineStr"/>
      <c r="N54" s="33" t="inlineStr">
        <is>
          <t>Avtomatlashtirilmagan</t>
        </is>
      </c>
      <c r="O54" s="31" t="inlineStr"/>
      <c r="P54" s="33" t="inlineStr">
        <is>
          <t>Bajarilmagan</t>
        </is>
      </c>
      <c r="Q54" s="31" t="inlineStr"/>
    </row>
    <row r="55" ht="34" customHeight="1">
      <c r="A55" s="30" t="inlineStr">
        <is>
          <t>DISC-006</t>
        </is>
      </c>
      <c r="B55" s="31" t="inlineStr">
        <is>
          <t>Chegirma va aksiyalar</t>
        </is>
      </c>
      <c r="C55" s="31" t="inlineStr">
        <is>
          <t>Vitrina</t>
        </is>
      </c>
      <c r="D55" s="32" t="inlineStr">
        <is>
          <t>Aksiya faqat tanlangan omborlarda</t>
        </is>
      </c>
      <c r="E55" s="33" t="inlineStr">
        <is>
          <t>P2</t>
        </is>
      </c>
      <c r="F55" s="33" t="inlineStr">
        <is>
          <t>Integration</t>
        </is>
      </c>
      <c r="G55" s="31" t="inlineStr">
        <is>
          <t>A omboridagi aksiya</t>
        </is>
      </c>
      <c r="H55" s="31" t="inlineStr">
        <is>
          <t>1. Vitrinada A, so'ng B ombori do'konini tanlash</t>
        </is>
      </c>
      <c r="I55" s="31" t="inlineStr"/>
      <c r="J55" s="31" t="inlineStr">
        <is>
          <t>Chegirma faqat A uchun</t>
        </is>
      </c>
      <c r="K55" s="31" t="inlineStr"/>
      <c r="L55" s="33" t="inlineStr">
        <is>
          <t>Ha</t>
        </is>
      </c>
      <c r="M55" s="31" t="inlineStr"/>
      <c r="N55" s="33" t="inlineStr">
        <is>
          <t>Avtomatlashtirilmagan</t>
        </is>
      </c>
      <c r="O55" s="31" t="inlineStr"/>
      <c r="P55" s="33" t="inlineStr">
        <is>
          <t>Bajarilmagan</t>
        </is>
      </c>
      <c r="Q55" s="31" t="inlineStr"/>
    </row>
    <row r="56" ht="34" customHeight="1">
      <c r="A56" s="30" t="inlineStr">
        <is>
          <t>DISC-007</t>
        </is>
      </c>
      <c r="B56" s="31" t="inlineStr">
        <is>
          <t>Chegirma va aksiyalar</t>
        </is>
      </c>
      <c r="C56" s="31" t="inlineStr">
        <is>
          <t>Avto</t>
        </is>
      </c>
      <c r="D56" s="32" t="inlineStr">
        <is>
          <t>Aksiya qoralamasi (avto taklif)</t>
        </is>
      </c>
      <c r="E56" s="33" t="inlineStr">
        <is>
          <t>P3</t>
        </is>
      </c>
      <c r="F56" s="33" t="inlineStr">
        <is>
          <t>Functional</t>
        </is>
      </c>
      <c r="G56" s="31" t="inlineStr">
        <is>
          <t>Tizim qotib qolgan tovar bo'yicha qoralama yaratgan</t>
        </is>
      </c>
      <c r="H56" s="31" t="inlineStr">
        <is>
          <t>1. Qoralamani ochish
2. Sanalarni qo'yib, boshlash</t>
        </is>
      </c>
      <c r="I56" s="31" t="inlineStr"/>
      <c r="J56" s="31" t="inlineStr">
        <is>
          <t>Taklif qilingan % bilan qoralama; boshlangach — oddiy aksiya</t>
        </is>
      </c>
      <c r="K56" s="31" t="inlineStr">
        <is>
          <t>PRD Auto chegirma</t>
        </is>
      </c>
      <c r="L56" s="33" t="inlineStr">
        <is>
          <t>Qisman</t>
        </is>
      </c>
      <c r="M56" s="31" t="inlineStr"/>
      <c r="N56" s="33" t="inlineStr">
        <is>
          <t>Avtomatlashtirilmagan</t>
        </is>
      </c>
      <c r="O56" s="31" t="inlineStr"/>
      <c r="P56" s="33" t="inlineStr">
        <is>
          <t>Bajarilmagan</t>
        </is>
      </c>
      <c r="Q56" s="31" t="inlineStr"/>
    </row>
    <row r="57" ht="48" customHeight="1">
      <c r="A57" s="26" t="inlineStr">
        <is>
          <t>PROD-001</t>
        </is>
      </c>
      <c r="B57" s="27" t="inlineStr">
        <is>
          <t>Mahsulotlar va variantlar</t>
        </is>
      </c>
      <c r="C57" s="27" t="inlineStr">
        <is>
          <t>Ro'yxat</t>
        </is>
      </c>
      <c r="D57" s="28" t="inlineStr">
        <is>
          <t>Mahsulotlar ro'yxati</t>
        </is>
      </c>
      <c r="E57" s="29" t="inlineStr">
        <is>
          <t>P2</t>
        </is>
      </c>
      <c r="F57" s="29" t="inlineStr">
        <is>
          <t>Functional</t>
        </is>
      </c>
      <c r="G57" s="27" t="inlineStr">
        <is>
          <t>Admin panelga test akkaunti bilan kirilgan (to'liq huquqlar)</t>
        </is>
      </c>
      <c r="H57" s="27" t="inlineStr">
        <is>
          <t>1. Mahsulotlar ni ochish
2. Nomi/ID bo'yicha qidirish
3. Sahifalash</t>
        </is>
      </c>
      <c r="I57" s="27" t="inlineStr"/>
      <c r="J57" s="27" t="inlineStr">
        <is>
          <t>Ustunlar: Id, nomi, variantlar soni, model, kategoriya; qidiruv va sahifalash ishlaydi</t>
        </is>
      </c>
      <c r="K57" s="27" t="inlineStr"/>
      <c r="L57" s="29" t="inlineStr">
        <is>
          <t>Ha</t>
        </is>
      </c>
      <c r="M57" s="27" t="inlineStr"/>
      <c r="N57" s="29" t="inlineStr">
        <is>
          <t>Avtomatlashtirilmagan</t>
        </is>
      </c>
      <c r="O57" s="27" t="inlineStr"/>
      <c r="P57" s="29" t="inlineStr">
        <is>
          <t>Bajarilmagan</t>
        </is>
      </c>
      <c r="Q57" s="27" t="inlineStr"/>
    </row>
    <row r="58" ht="76" customHeight="1">
      <c r="A58" s="26" t="inlineStr">
        <is>
          <t>PROD-002</t>
        </is>
      </c>
      <c r="B58" s="27" t="inlineStr">
        <is>
          <t>Mahsulotlar va variantlar</t>
        </is>
      </c>
      <c r="C58" s="27" t="inlineStr">
        <is>
          <t>Mahsulot</t>
        </is>
      </c>
      <c r="D58" s="28" t="inlineStr">
        <is>
          <t>Mahsulotni tahrirlash (General)</t>
        </is>
      </c>
      <c r="E58" s="29" t="inlineStr">
        <is>
          <t>P1</t>
        </is>
      </c>
      <c r="F58" s="29" t="inlineStr">
        <is>
          <t>Functional</t>
        </is>
      </c>
      <c r="G58" s="27" t="inlineStr">
        <is>
          <t>Admin panelga test akkaunti bilan kirilgan (to'liq huquqlar)</t>
        </is>
      </c>
      <c r="H58" s="27" t="inlineStr">
        <is>
          <t>1. Mahsulotni ochish
2. Nomi, brend, kategoriya, model, rasmni o'zgartirish
3. «Saqlash»
4. Asl holiga qaytarish</t>
        </is>
      </c>
      <c r="I58" s="27" t="inlineStr"/>
      <c r="J58" s="27" t="inlineStr">
        <is>
          <t>O'zgarishlar saqlanadi va vitrinada ko'rinadi</t>
        </is>
      </c>
      <c r="K58" s="27" t="inlineStr"/>
      <c r="L58" s="29" t="inlineStr">
        <is>
          <t>Ha</t>
        </is>
      </c>
      <c r="M58" s="27" t="inlineStr"/>
      <c r="N58" s="29" t="inlineStr">
        <is>
          <t>Avtomatlashtirilmagan</t>
        </is>
      </c>
      <c r="O58" s="27" t="inlineStr"/>
      <c r="P58" s="29" t="inlineStr">
        <is>
          <t>Bajarilmagan</t>
        </is>
      </c>
      <c r="Q58" s="27" t="inlineStr"/>
    </row>
    <row r="59" ht="48" customHeight="1">
      <c r="A59" s="26" t="inlineStr">
        <is>
          <t>PROD-003</t>
        </is>
      </c>
      <c r="B59" s="27" t="inlineStr">
        <is>
          <t>Mahsulotlar va variantlar</t>
        </is>
      </c>
      <c r="C59" s="27" t="inlineStr">
        <is>
          <t>Mahsulot</t>
        </is>
      </c>
      <c r="D59" s="28" t="inlineStr">
        <is>
          <t>Mahsulot yaratish</t>
        </is>
      </c>
      <c r="E59" s="29" t="inlineStr">
        <is>
          <t>P1</t>
        </is>
      </c>
      <c r="F59" s="29" t="inlineStr">
        <is>
          <t>Smoke</t>
        </is>
      </c>
      <c r="G59" s="27" t="inlineStr">
        <is>
          <t>Admin panelga test akkaunti bilan kirilgan (to'liq huquqlar)</t>
        </is>
      </c>
      <c r="H59" s="27" t="inlineStr">
        <is>
          <t>1. Mahsulot yaratish: nomi, brend, kategoriya (Turi bo'lsa — Turigacha), model, rasm</t>
        </is>
      </c>
      <c r="I59" s="27" t="inlineStr"/>
      <c r="J59" s="27" t="inlineStr">
        <is>
          <t>Mahsulot yaratiladi va ro'yxatda ko'rinadi</t>
        </is>
      </c>
      <c r="K59" s="27" t="inlineStr"/>
      <c r="L59" s="29" t="inlineStr">
        <is>
          <t>Ha</t>
        </is>
      </c>
      <c r="M59" s="27" t="inlineStr"/>
      <c r="N59" s="29" t="inlineStr">
        <is>
          <t>Avtomatlashtirilmagan</t>
        </is>
      </c>
      <c r="O59" s="27" t="inlineStr"/>
      <c r="P59" s="29" t="inlineStr">
        <is>
          <t>Bajarilmagan</t>
        </is>
      </c>
      <c r="Q59" s="27" t="inlineStr"/>
    </row>
    <row r="60" ht="62" customHeight="1">
      <c r="A60" s="26" t="inlineStr">
        <is>
          <t>PROD-004</t>
        </is>
      </c>
      <c r="B60" s="27" t="inlineStr">
        <is>
          <t>Mahsulotlar va variantlar</t>
        </is>
      </c>
      <c r="C60" s="27" t="inlineStr">
        <is>
          <t>Variantlar</t>
        </is>
      </c>
      <c r="D60" s="28" t="inlineStr">
        <is>
          <t>Variant yaratish</t>
        </is>
      </c>
      <c r="E60" s="29" t="inlineStr">
        <is>
          <t>P1</t>
        </is>
      </c>
      <c r="F60" s="29" t="inlineStr">
        <is>
          <t>Smoke</t>
        </is>
      </c>
      <c r="G60" s="27" t="inlineStr">
        <is>
          <t>Admin panelga test akkaunti bilan kirilgan (to'liq huquqlar); mahsulot ochiq → Variations</t>
        </is>
      </c>
      <c r="H60" s="27" t="inlineStr">
        <is>
          <t>1. Variant qo'shish: atributlar (sifat, rang), ishlab chiqaruvchi, yorliq nomi
2. Saqlash</t>
        </is>
      </c>
      <c r="I60" s="27" t="inlineStr"/>
      <c r="J60" s="27" t="inlineStr">
        <is>
          <t>Variant yaratiladi; bo'sh yorliq nomi avtomatik yaratiladi</t>
        </is>
      </c>
      <c r="K60" s="27" t="inlineStr">
        <is>
          <t>PRD Product Variant Check Name</t>
        </is>
      </c>
      <c r="L60" s="29" t="inlineStr">
        <is>
          <t>Ha</t>
        </is>
      </c>
      <c r="M60" s="27" t="inlineStr"/>
      <c r="N60" s="29" t="inlineStr">
        <is>
          <t>Avtomatlashtirilmagan</t>
        </is>
      </c>
      <c r="O60" s="27" t="inlineStr"/>
      <c r="P60" s="29" t="inlineStr">
        <is>
          <t>Bajarilmagan</t>
        </is>
      </c>
      <c r="Q60" s="27" t="inlineStr"/>
    </row>
    <row r="61" ht="34" customHeight="1">
      <c r="A61" s="26" t="inlineStr">
        <is>
          <t>PROD-005</t>
        </is>
      </c>
      <c r="B61" s="27" t="inlineStr">
        <is>
          <t>Mahsulotlar va variantlar</t>
        </is>
      </c>
      <c r="C61" s="27" t="inlineStr">
        <is>
          <t>Variantlar</t>
        </is>
      </c>
      <c r="D61" s="28" t="inlineStr">
        <is>
          <t>Variant dublikati</t>
        </is>
      </c>
      <c r="E61" s="29" t="inlineStr">
        <is>
          <t>P2</t>
        </is>
      </c>
      <c r="F61" s="29" t="inlineStr">
        <is>
          <t>Negative</t>
        </is>
      </c>
      <c r="G61" s="27" t="inlineStr">
        <is>
          <t>Atributlari va ishlab chiqaruvchisi bir xil variant bor</t>
        </is>
      </c>
      <c r="H61" s="27" t="inlineStr">
        <is>
          <t>1. Xuddi shunday variant yaratish</t>
        </is>
      </c>
      <c r="I61" s="27" t="inlineStr"/>
      <c r="J61" s="27" t="inlineStr">
        <is>
          <t>Unikallik xatosi; boshqa ishlab chiqaruvchi bilan — ruxsat</t>
        </is>
      </c>
      <c r="K61" s="27" t="inlineStr">
        <is>
          <t>PRD 8.7 Ishlab chiqaruvchilar</t>
        </is>
      </c>
      <c r="L61" s="29" t="inlineStr">
        <is>
          <t>Ha</t>
        </is>
      </c>
      <c r="M61" s="27" t="inlineStr"/>
      <c r="N61" s="29" t="inlineStr">
        <is>
          <t>Avtomatlashtirilmagan</t>
        </is>
      </c>
      <c r="O61" s="27" t="inlineStr"/>
      <c r="P61" s="29" t="inlineStr">
        <is>
          <t>Bajarilmagan</t>
        </is>
      </c>
      <c r="Q61" s="27" t="inlineStr"/>
    </row>
    <row r="62" ht="34" customHeight="1">
      <c r="A62" s="26" t="inlineStr">
        <is>
          <t>PROD-006</t>
        </is>
      </c>
      <c r="B62" s="27" t="inlineStr">
        <is>
          <t>Mahsulotlar va variantlar</t>
        </is>
      </c>
      <c r="C62" s="27" t="inlineStr">
        <is>
          <t>Variantlar</t>
        </is>
      </c>
      <c r="D62" s="28" t="inlineStr">
        <is>
          <t>Variantni boshqa mahsulotga ko'chirish</t>
        </is>
      </c>
      <c r="E62" s="29" t="inlineStr">
        <is>
          <t>P2</t>
        </is>
      </c>
      <c r="F62" s="29" t="inlineStr">
        <is>
          <t>Functional</t>
        </is>
      </c>
      <c r="G62" s="27" t="inlineStr">
        <is>
          <t>Variant bor</t>
        </is>
      </c>
      <c r="H62" s="27" t="inlineStr">
        <is>
          <t>1. «Asosiy mahsulot»ni o'zgartirish
2. Tasdiqlash</t>
        </is>
      </c>
      <c r="I62" s="27" t="inlineStr"/>
      <c r="J62" s="27" t="inlineStr">
        <is>
          <t>Kategoriya o'zgarishi haqida ogohlantirish oynasi; variant qoldiq va tarixi bilan ko'chadi</t>
        </is>
      </c>
      <c r="K62" s="27" t="inlineStr">
        <is>
          <t>PRD Mahsulot varianti — almashtirish</t>
        </is>
      </c>
      <c r="L62" s="29" t="inlineStr">
        <is>
          <t>Ha</t>
        </is>
      </c>
      <c r="M62" s="27" t="inlineStr"/>
      <c r="N62" s="29" t="inlineStr">
        <is>
          <t>Avtomatlashtirilmagan</t>
        </is>
      </c>
      <c r="O62" s="27" t="inlineStr"/>
      <c r="P62" s="29" t="inlineStr">
        <is>
          <t>Bajarilmagan</t>
        </is>
      </c>
      <c r="Q62" s="27" t="inlineStr"/>
    </row>
    <row r="63" ht="34" customHeight="1">
      <c r="A63" s="26" t="inlineStr">
        <is>
          <t>PROD-007</t>
        </is>
      </c>
      <c r="B63" s="27" t="inlineStr">
        <is>
          <t>Mahsulotlar va variantlar</t>
        </is>
      </c>
      <c r="C63" s="27" t="inlineStr">
        <is>
          <t>Kategoriyalar</t>
        </is>
      </c>
      <c r="D63" s="28" t="inlineStr">
        <is>
          <t>Turlari bor sub kategoriyada Turi majburiy</t>
        </is>
      </c>
      <c r="E63" s="29" t="inlineStr">
        <is>
          <t>P2</t>
        </is>
      </c>
      <c r="F63" s="29" t="inlineStr">
        <is>
          <t>Negative</t>
        </is>
      </c>
      <c r="G63" s="27" t="inlineStr">
        <is>
          <t>Turi bor sub kategoriya</t>
        </is>
      </c>
      <c r="H63" s="27" t="inlineStr">
        <is>
          <t>1. Turisiz mahsulot yaratish</t>
        </is>
      </c>
      <c r="I63" s="27" t="inlineStr"/>
      <c r="J63" s="27" t="inlineStr">
        <is>
          <t>Saqlash bloklanadi</t>
        </is>
      </c>
      <c r="K63" s="27" t="inlineStr">
        <is>
          <t>PRD Product &amp; Product Variant</t>
        </is>
      </c>
      <c r="L63" s="29" t="inlineStr">
        <is>
          <t>Ha</t>
        </is>
      </c>
      <c r="M63" s="27" t="inlineStr"/>
      <c r="N63" s="29" t="inlineStr">
        <is>
          <t>Avtomatlashtirilmagan</t>
        </is>
      </c>
      <c r="O63" s="27" t="inlineStr"/>
      <c r="P63" s="29" t="inlineStr">
        <is>
          <t>Bajarilmagan</t>
        </is>
      </c>
      <c r="Q63" s="27" t="inlineStr"/>
    </row>
    <row r="64" ht="48" customHeight="1">
      <c r="A64" s="30" t="inlineStr">
        <is>
          <t>DIR-001</t>
        </is>
      </c>
      <c r="B64" s="31" t="inlineStr">
        <is>
          <t>Katalog ma'lumotnomalari</t>
        </is>
      </c>
      <c r="C64" s="31" t="inlineStr">
        <is>
          <t>Brendlar</t>
        </is>
      </c>
      <c r="D64" s="32" t="inlineStr">
        <is>
          <t>Brendlar CRUD</t>
        </is>
      </c>
      <c r="E64" s="33" t="inlineStr">
        <is>
          <t>P2</t>
        </is>
      </c>
      <c r="F64" s="33" t="inlineStr">
        <is>
          <t>Functional</t>
        </is>
      </c>
      <c r="G64" s="31" t="inlineStr">
        <is>
          <t>Admin panelga test akkaunti bilan kirilgan (to'liq huquqlar)</t>
        </is>
      </c>
      <c r="H64" s="31" t="inlineStr">
        <is>
          <t>1. Katalog → Brendlar → «Yaratish»
2. Tahrirlash
3. Qidiruv orqali topish</t>
        </is>
      </c>
      <c r="I64" s="31" t="inlineStr"/>
      <c r="J64" s="31" t="inlineStr">
        <is>
          <t>Brend yaratiladi/o'zgaradi, mahsulotda brend tanlovida bor</t>
        </is>
      </c>
      <c r="K64" s="31" t="inlineStr"/>
      <c r="L64" s="33" t="inlineStr">
        <is>
          <t>Ha</t>
        </is>
      </c>
      <c r="M64" s="31" t="inlineStr"/>
      <c r="N64" s="33" t="inlineStr">
        <is>
          <t>Avtomatlashtirilmagan</t>
        </is>
      </c>
      <c r="O64" s="31" t="inlineStr"/>
      <c r="P64" s="33" t="inlineStr">
        <is>
          <t>Bajarilmagan</t>
        </is>
      </c>
      <c r="Q64" s="31" t="inlineStr"/>
    </row>
    <row r="65" ht="48" customHeight="1">
      <c r="A65" s="30" t="inlineStr">
        <is>
          <t>DIR-002</t>
        </is>
      </c>
      <c r="B65" s="31" t="inlineStr">
        <is>
          <t>Katalog ma'lumotnomalari</t>
        </is>
      </c>
      <c r="C65" s="31" t="inlineStr">
        <is>
          <t>Kategoriyalar</t>
        </is>
      </c>
      <c r="D65" s="32" t="inlineStr">
        <is>
          <t>Kategoriya yaratish</t>
        </is>
      </c>
      <c r="E65" s="33" t="inlineStr">
        <is>
          <t>P1</t>
        </is>
      </c>
      <c r="F65" s="33" t="inlineStr">
        <is>
          <t>Functional</t>
        </is>
      </c>
      <c r="G65" s="31" t="inlineStr">
        <is>
          <t>Admin panelga test akkaunti bilan kirilgan (to'liq huquqlar)</t>
        </is>
      </c>
      <c r="H65" s="31" t="inlineStr">
        <is>
          <t>1. Kategoriyalar → «Yaratish»: nomi uz/ru/en, teglar, rasm, og'irlik va o'lchamlar
2. «Yaratish»</t>
        </is>
      </c>
      <c r="I65" s="31" t="inlineStr"/>
      <c r="J65" s="31" t="inlineStr">
        <is>
          <t>Kategoriya yaratiladi va vitrinadagi katalog menyusida ko'rinadi</t>
        </is>
      </c>
      <c r="K65" s="31" t="inlineStr"/>
      <c r="L65" s="33" t="inlineStr">
        <is>
          <t>Ha</t>
        </is>
      </c>
      <c r="M65" s="31" t="inlineStr"/>
      <c r="N65" s="33" t="inlineStr">
        <is>
          <t>Avtomatlashtirilmagan</t>
        </is>
      </c>
      <c r="O65" s="31" t="inlineStr"/>
      <c r="P65" s="33" t="inlineStr">
        <is>
          <t>Bajarilmagan</t>
        </is>
      </c>
      <c r="Q65" s="31" t="inlineStr"/>
    </row>
    <row r="66" ht="48" customHeight="1">
      <c r="A66" s="30" t="inlineStr">
        <is>
          <t>DIR-003</t>
        </is>
      </c>
      <c r="B66" s="31" t="inlineStr">
        <is>
          <t>Katalog ma'lumotnomalari</t>
        </is>
      </c>
      <c r="C66" s="31" t="inlineStr">
        <is>
          <t>Kategoriyalar</t>
        </is>
      </c>
      <c r="D66" s="32" t="inlineStr">
        <is>
          <t>Kategoriya sahifasi: Sub kategoriyalar / Mahsulotlar</t>
        </is>
      </c>
      <c r="E66" s="33" t="inlineStr">
        <is>
          <t>P2</t>
        </is>
      </c>
      <c r="F66" s="33" t="inlineStr">
        <is>
          <t>Functional</t>
        </is>
      </c>
      <c r="G66" s="31" t="inlineStr">
        <is>
          <t>Admin panelga test akkaunti bilan kirilgan (to'liq huquqlar)</t>
        </is>
      </c>
      <c r="H66" s="31" t="inlineStr">
        <is>
          <t>1. Kategoriyani ochish
2. Tablarni almashtirish</t>
        </is>
      </c>
      <c r="I66" s="31" t="inlineStr"/>
      <c r="J66" s="31" t="inlineStr">
        <is>
          <t>Sub kategoriyalar va biriktirilgan mahsulotlar ko'rinadi</t>
        </is>
      </c>
      <c r="K66" s="31" t="inlineStr">
        <is>
          <t>PRD AIDT-759</t>
        </is>
      </c>
      <c r="L66" s="33" t="inlineStr">
        <is>
          <t>Ha</t>
        </is>
      </c>
      <c r="M66" s="31" t="inlineStr"/>
      <c r="N66" s="33" t="inlineStr">
        <is>
          <t>Avtomatlashtirilmagan</t>
        </is>
      </c>
      <c r="O66" s="31" t="inlineStr"/>
      <c r="P66" s="33" t="inlineStr">
        <is>
          <t>Bajarilmagan</t>
        </is>
      </c>
      <c r="Q66" s="31" t="inlineStr"/>
    </row>
    <row r="67" ht="48" customHeight="1">
      <c r="A67" s="30" t="inlineStr">
        <is>
          <t>DIR-004</t>
        </is>
      </c>
      <c r="B67" s="31" t="inlineStr">
        <is>
          <t>Katalog ma'lumotnomalari</t>
        </is>
      </c>
      <c r="C67" s="31" t="inlineStr">
        <is>
          <t>Kategoriyalar</t>
        </is>
      </c>
      <c r="D67" s="32" t="inlineStr">
        <is>
          <t>Kategoriyaning majburiy maydonlari</t>
        </is>
      </c>
      <c r="E67" s="33" t="inlineStr">
        <is>
          <t>P2</t>
        </is>
      </c>
      <c r="F67" s="33" t="inlineStr">
        <is>
          <t>Negative</t>
        </is>
      </c>
      <c r="G67" s="31" t="inlineStr">
        <is>
          <t>Admin panelga test akkaunti bilan kirilgan (to'liq huquqlar)</t>
        </is>
      </c>
      <c r="H67" s="31" t="inlineStr">
        <is>
          <t>1. Nomisiz kategoriya yaratish</t>
        </is>
      </c>
      <c r="I67" s="31" t="inlineStr"/>
      <c r="J67" s="31" t="inlineStr">
        <is>
          <t>Validatsiya xatosi</t>
        </is>
      </c>
      <c r="K67" s="31" t="inlineStr"/>
      <c r="L67" s="33" t="inlineStr">
        <is>
          <t>Ha</t>
        </is>
      </c>
      <c r="M67" s="31" t="inlineStr"/>
      <c r="N67" s="33" t="inlineStr">
        <is>
          <t>Avtomatlashtirilmagan</t>
        </is>
      </c>
      <c r="O67" s="31" t="inlineStr"/>
      <c r="P67" s="33" t="inlineStr">
        <is>
          <t>Bajarilmagan</t>
        </is>
      </c>
      <c r="Q67" s="31" t="inlineStr"/>
    </row>
    <row r="68" ht="48" customHeight="1">
      <c r="A68" s="30" t="inlineStr">
        <is>
          <t>DIR-005</t>
        </is>
      </c>
      <c r="B68" s="31" t="inlineStr">
        <is>
          <t>Katalog ma'lumotnomalari</t>
        </is>
      </c>
      <c r="C68" s="31" t="inlineStr">
        <is>
          <t>Attributlar</t>
        </is>
      </c>
      <c r="D68" s="32" t="inlineStr">
        <is>
          <t>Attributlar CRUD va holat</t>
        </is>
      </c>
      <c r="E68" s="33" t="inlineStr">
        <is>
          <t>P3</t>
        </is>
      </c>
      <c r="F68" s="33" t="inlineStr">
        <is>
          <t>Functional</t>
        </is>
      </c>
      <c r="G68" s="31" t="inlineStr">
        <is>
          <t>Admin panelga test akkaunti bilan kirilgan (to'liq huquqlar)</t>
        </is>
      </c>
      <c r="H68" s="31" t="inlineStr">
        <is>
          <t>1. Attributlar → «Yaratish»
2. Holatni o'zgartirish</t>
        </is>
      </c>
      <c r="I68" s="31" t="inlineStr"/>
      <c r="J68" s="31" t="inlineStr">
        <is>
          <t>Attribut yaratiladi; nofaoli variant yaratishda tanlanmaydi</t>
        </is>
      </c>
      <c r="K68" s="31" t="inlineStr"/>
      <c r="L68" s="33" t="inlineStr">
        <is>
          <t>Ha</t>
        </is>
      </c>
      <c r="M68" s="31" t="inlineStr"/>
      <c r="N68" s="33" t="inlineStr">
        <is>
          <t>Avtomatlashtirilmagan</t>
        </is>
      </c>
      <c r="O68" s="31" t="inlineStr"/>
      <c r="P68" s="33" t="inlineStr">
        <is>
          <t>Bajarilmagan</t>
        </is>
      </c>
      <c r="Q68" s="31" t="inlineStr"/>
    </row>
    <row r="69" ht="48" customHeight="1">
      <c r="A69" s="30" t="inlineStr">
        <is>
          <t>DIR-006</t>
        </is>
      </c>
      <c r="B69" s="31" t="inlineStr">
        <is>
          <t>Katalog ma'lumotnomalari</t>
        </is>
      </c>
      <c r="C69" s="31" t="inlineStr">
        <is>
          <t>Modellar</t>
        </is>
      </c>
      <c r="D69" s="32" t="inlineStr">
        <is>
          <t>Model yaratish va unikallik</t>
        </is>
      </c>
      <c r="E69" s="33" t="inlineStr">
        <is>
          <t>P2</t>
        </is>
      </c>
      <c r="F69" s="33" t="inlineStr">
        <is>
          <t>Functional</t>
        </is>
      </c>
      <c r="G69" s="31" t="inlineStr">
        <is>
          <t>Admin panelga test akkaunti bilan kirilgan (to'liq huquqlar)</t>
        </is>
      </c>
      <c r="H69" s="31" t="inlineStr">
        <is>
          <t>1. Model → «Yaratish» (nomi, brend, kategoriya)
2. Dublikat yaratish</t>
        </is>
      </c>
      <c r="I69" s="31" t="inlineStr"/>
      <c r="J69" s="31" t="inlineStr">
        <is>
          <t>Model yaratiladi; bir xil brend+kategoriya juftida dublikat taqiqlanadi; model vitrinadagi «Model»da ko'rinadi</t>
        </is>
      </c>
      <c r="K69" s="31" t="inlineStr"/>
      <c r="L69" s="33" t="inlineStr">
        <is>
          <t>Ha</t>
        </is>
      </c>
      <c r="M69" s="31" t="inlineStr"/>
      <c r="N69" s="33" t="inlineStr">
        <is>
          <t>Avtomatlashtirilmagan</t>
        </is>
      </c>
      <c r="O69" s="31" t="inlineStr"/>
      <c r="P69" s="33" t="inlineStr">
        <is>
          <t>Bajarilmagan</t>
        </is>
      </c>
      <c r="Q69" s="31" t="inlineStr"/>
    </row>
    <row r="70" ht="48" customHeight="1">
      <c r="A70" s="30" t="inlineStr">
        <is>
          <t>DIR-007</t>
        </is>
      </c>
      <c r="B70" s="31" t="inlineStr">
        <is>
          <t>Katalog ma'lumotnomalari</t>
        </is>
      </c>
      <c r="C70" s="31" t="inlineStr">
        <is>
          <t>Modellar</t>
        </is>
      </c>
      <c r="D70" s="32" t="inlineStr">
        <is>
          <t>Qurilma modellari</t>
        </is>
      </c>
      <c r="E70" s="33" t="inlineStr">
        <is>
          <t>P3</t>
        </is>
      </c>
      <c r="F70" s="33" t="inlineStr">
        <is>
          <t>Functional</t>
        </is>
      </c>
      <c r="G70" s="31" t="inlineStr">
        <is>
          <t>Admin panelga test akkaunti bilan kirilgan (to'liq huquqlar)</t>
        </is>
      </c>
      <c r="H70" s="31" t="inlineStr">
        <is>
          <t>1. Qurilma modeli → «Yaratish»</t>
        </is>
      </c>
      <c r="I70" s="31" t="inlineStr"/>
      <c r="J70" s="31" t="inlineStr">
        <is>
          <t>Qurilma modeli yaratiladi</t>
        </is>
      </c>
      <c r="K70" s="31" t="inlineStr"/>
      <c r="L70" s="33" t="inlineStr">
        <is>
          <t>Ha</t>
        </is>
      </c>
      <c r="M70" s="31" t="inlineStr"/>
      <c r="N70" s="33" t="inlineStr">
        <is>
          <t>Avtomatlashtirilmagan</t>
        </is>
      </c>
      <c r="O70" s="31" t="inlineStr"/>
      <c r="P70" s="33" t="inlineStr">
        <is>
          <t>Bajarilmagan</t>
        </is>
      </c>
      <c r="Q70" s="31" t="inlineStr"/>
    </row>
    <row r="71" ht="48" customHeight="1">
      <c r="A71" s="30" t="inlineStr">
        <is>
          <t>DIR-008</t>
        </is>
      </c>
      <c r="B71" s="31" t="inlineStr">
        <is>
          <t>Katalog ma'lumotnomalari</t>
        </is>
      </c>
      <c r="C71" s="31" t="inlineStr">
        <is>
          <t>Ta'minotchilar</t>
        </is>
      </c>
      <c r="D71" s="32" t="inlineStr">
        <is>
          <t>Ta'minotchilar CRUD</t>
        </is>
      </c>
      <c r="E71" s="33" t="inlineStr">
        <is>
          <t>P3</t>
        </is>
      </c>
      <c r="F71" s="33" t="inlineStr">
        <is>
          <t>Functional</t>
        </is>
      </c>
      <c r="G71" s="31" t="inlineStr">
        <is>
          <t>Admin panelga test akkaunti bilan kirilgan (to'liq huquqlar)</t>
        </is>
      </c>
      <c r="H71" s="31" t="inlineStr">
        <is>
          <t>1. Ta'minotchi → «Yaratish» (nomi, manzil, telefon)</t>
        </is>
      </c>
      <c r="I71" s="31" t="inlineStr"/>
      <c r="J71" s="31" t="inlineStr">
        <is>
          <t>Ta'minotchi yaratiladi, kirimda tanlanadi</t>
        </is>
      </c>
      <c r="K71" s="31" t="inlineStr"/>
      <c r="L71" s="33" t="inlineStr">
        <is>
          <t>Ha</t>
        </is>
      </c>
      <c r="M71" s="31" t="inlineStr"/>
      <c r="N71" s="33" t="inlineStr">
        <is>
          <t>Avtomatlashtirilmagan</t>
        </is>
      </c>
      <c r="O71" s="31" t="inlineStr"/>
      <c r="P71" s="33" t="inlineStr">
        <is>
          <t>Bajarilmagan</t>
        </is>
      </c>
      <c r="Q71" s="31" t="inlineStr"/>
    </row>
    <row r="72" ht="62" customHeight="1">
      <c r="A72" s="26" t="inlineStr">
        <is>
          <t>ORD-001</t>
        </is>
      </c>
      <c r="B72" s="27" t="inlineStr">
        <is>
          <t>Buyurtmalar</t>
        </is>
      </c>
      <c r="C72" s="27" t="inlineStr">
        <is>
          <t>Ro'yxat</t>
        </is>
      </c>
      <c r="D72" s="28" t="inlineStr">
        <is>
          <t>Buyurtmalar ro'yxati va filtrlari</t>
        </is>
      </c>
      <c r="E72" s="29" t="inlineStr">
        <is>
          <t>P1</t>
        </is>
      </c>
      <c r="F72" s="29" t="inlineStr">
        <is>
          <t>Smoke</t>
        </is>
      </c>
      <c r="G72" s="27" t="inlineStr">
        <is>
          <t>Admin panelga test akkaunti bilan kirilgan (to'liq huquqlar)</t>
        </is>
      </c>
      <c r="H72" s="27" t="inlineStr">
        <is>
          <t>1. Buyurtmalar → Buyurtmalar
2. Filtr: sana, ombor, foydalanuvchi, status, to'lov, yetkazish, manba
3. Tozalash</t>
        </is>
      </c>
      <c r="I72" s="27" t="inlineStr"/>
      <c r="J72" s="27" t="inlineStr">
        <is>
          <t>Ustunlar: Id, mijoz, buyurtma turi, ombor, status, to'lov turi, yetkazish, jami narx, yaratilgan sana, izoh; yangilari yuqorida; filtrlar birga ishlaydi</t>
        </is>
      </c>
      <c r="K72" s="27" t="inlineStr"/>
      <c r="L72" s="29" t="inlineStr">
        <is>
          <t>Ha</t>
        </is>
      </c>
      <c r="M72" s="27" t="inlineStr"/>
      <c r="N72" s="29" t="inlineStr">
        <is>
          <t>Avtomatlashtirilmagan</t>
        </is>
      </c>
      <c r="O72" s="27" t="inlineStr"/>
      <c r="P72" s="29" t="inlineStr">
        <is>
          <t>Bajarilmagan</t>
        </is>
      </c>
      <c r="Q72" s="27" t="inlineStr"/>
    </row>
    <row r="73" ht="34" customHeight="1">
      <c r="A73" s="26" t="inlineStr">
        <is>
          <t>ORD-002</t>
        </is>
      </c>
      <c r="B73" s="27" t="inlineStr">
        <is>
          <t>Buyurtmalar</t>
        </is>
      </c>
      <c r="C73" s="27" t="inlineStr">
        <is>
          <t>Ro'yxat</t>
        </is>
      </c>
      <c r="D73" s="28" t="inlineStr">
        <is>
          <t>Vitrinadan buyurtma admin panelda paydo bo'ladi</t>
        </is>
      </c>
      <c r="E73" s="29" t="inlineStr">
        <is>
          <t>P1</t>
        </is>
      </c>
      <c r="F73" s="29" t="inlineStr">
        <is>
          <t>Integration</t>
        </is>
      </c>
      <c r="G73" s="27" t="inlineStr">
        <is>
          <t>Usta vitrinada buyurtma bergan</t>
        </is>
      </c>
      <c r="H73" s="27" t="inlineStr">
        <is>
          <t>1. Buyurtmani ID / foydalanuvchi bo'yicha topish</t>
        </is>
      </c>
      <c r="I73" s="27" t="inlineStr"/>
      <c r="J73" s="27" t="inlineStr">
        <is>
          <t>Ma'lumotlar vitrina bilan mos: mahsulotlar, summa, to'lov, yetkazish, ombor, mijoz izohi</t>
        </is>
      </c>
      <c r="K73" s="27" t="inlineStr"/>
      <c r="L73" s="29" t="inlineStr">
        <is>
          <t>Ha</t>
        </is>
      </c>
      <c r="M73" s="27" t="inlineStr"/>
      <c r="N73" s="29" t="inlineStr">
        <is>
          <t>Avtomatlashtirilmagan</t>
        </is>
      </c>
      <c r="O73" s="27" t="inlineStr"/>
      <c r="P73" s="29" t="inlineStr">
        <is>
          <t>Bajarilmagan</t>
        </is>
      </c>
      <c r="Q73" s="27" t="inlineStr"/>
    </row>
    <row r="74" ht="76" customHeight="1">
      <c r="A74" s="26" t="inlineStr">
        <is>
          <t>ORD-003</t>
        </is>
      </c>
      <c r="B74" s="27" t="inlineStr">
        <is>
          <t>Buyurtmalar</t>
        </is>
      </c>
      <c r="C74" s="27" t="inlineStr">
        <is>
          <t>Tafsilotlar</t>
        </is>
      </c>
      <c r="D74" s="28" t="inlineStr">
        <is>
          <t>Buyurtma kartasi</t>
        </is>
      </c>
      <c r="E74" s="29" t="inlineStr">
        <is>
          <t>P1</t>
        </is>
      </c>
      <c r="F74" s="29" t="inlineStr">
        <is>
          <t>Functional</t>
        </is>
      </c>
      <c r="G74" s="27" t="inlineStr">
        <is>
          <t>Admin panelga test akkaunti bilan kirilgan (to'liq huquqlar)</t>
        </is>
      </c>
      <c r="H74" s="27" t="inlineStr">
        <is>
          <t>1. Buyurtmani ochish</t>
        </is>
      </c>
      <c r="I74" s="27" t="inlineStr"/>
      <c r="J74" s="27" t="inlineStr">
        <is>
          <t>Buyurtma statuslari, mijoz, jo'natuvchi ombor/ombor, o'tkazma raqami, sanalar; to'lov: turi, mahsulotlar narxi, qaytarilgan, buyurtma narxi, yetkazish, muddat; yetkazish: turi, manzil; mahsulotlar: qoldiq, narx, qaytarilgan, xususiyatlar</t>
        </is>
      </c>
      <c r="K74" s="27" t="inlineStr"/>
      <c r="L74" s="29" t="inlineStr">
        <is>
          <t>Ha</t>
        </is>
      </c>
      <c r="M74" s="27" t="inlineStr"/>
      <c r="N74" s="29" t="inlineStr">
        <is>
          <t>Avtomatlashtirilmagan</t>
        </is>
      </c>
      <c r="O74" s="27" t="inlineStr"/>
      <c r="P74" s="29" t="inlineStr">
        <is>
          <t>Bajarilmagan</t>
        </is>
      </c>
      <c r="Q74" s="27" t="inlineStr"/>
    </row>
    <row r="75" ht="48" customHeight="1">
      <c r="A75" s="26" t="inlineStr">
        <is>
          <t>ORD-004</t>
        </is>
      </c>
      <c r="B75" s="27" t="inlineStr">
        <is>
          <t>Buyurtmalar</t>
        </is>
      </c>
      <c r="C75" s="27" t="inlineStr">
        <is>
          <t>Statuslar</t>
        </is>
      </c>
      <c r="D75" s="28" t="inlineStr">
        <is>
          <t>Buyurtma statusini o'zgartirish</t>
        </is>
      </c>
      <c r="E75" s="29" t="inlineStr">
        <is>
          <t>P1</t>
        </is>
      </c>
      <c r="F75" s="29" t="inlineStr">
        <is>
          <t>Smoke</t>
        </is>
      </c>
      <c r="G75" s="27" t="inlineStr">
        <is>
          <t>Admin panelga test akkaunti bilan kirilgan (to'liq huquqlar); buyurtma «Yaratilgan»</t>
        </is>
      </c>
      <c r="H75" s="27" t="inlineStr">
        <is>
          <t>1. Yaratilgan → Yuborildi → Qabul qilindi → Bajarildi
2. Har safar «Saqlash»</t>
        </is>
      </c>
      <c r="I75" s="27" t="inlineStr"/>
      <c r="J75" s="27" t="inlineStr">
        <is>
          <t>Status va vaqt saqlanadi; mijoz statusni vitrinada ko'radi</t>
        </is>
      </c>
      <c r="K75" s="27" t="inlineStr">
        <is>
          <t>PRD Admin Order List and Detail</t>
        </is>
      </c>
      <c r="L75" s="29" t="inlineStr">
        <is>
          <t>Ha</t>
        </is>
      </c>
      <c r="M75" s="27" t="inlineStr"/>
      <c r="N75" s="29" t="inlineStr">
        <is>
          <t>Avtomatlashtirilmagan</t>
        </is>
      </c>
      <c r="O75" s="27" t="inlineStr"/>
      <c r="P75" s="29" t="inlineStr">
        <is>
          <t>Bajarilmagan</t>
        </is>
      </c>
      <c r="Q75" s="27" t="inlineStr"/>
    </row>
    <row r="76" ht="76" customHeight="1">
      <c r="A76" s="26" t="inlineStr">
        <is>
          <t>ORD-005</t>
        </is>
      </c>
      <c r="B76" s="27" t="inlineStr">
        <is>
          <t>Buyurtmalar</t>
        </is>
      </c>
      <c r="C76" s="27" t="inlineStr">
        <is>
          <t>Bekor qilish</t>
        </is>
      </c>
      <c r="D76" s="28" t="inlineStr">
        <is>
          <t>Admin tomonidan sabab bilan bekor qilish</t>
        </is>
      </c>
      <c r="E76" s="29" t="inlineStr">
        <is>
          <t>P1</t>
        </is>
      </c>
      <c r="F76" s="29" t="inlineStr">
        <is>
          <t>Functional</t>
        </is>
      </c>
      <c r="G76" s="27" t="inlineStr">
        <is>
          <t>Admin panelga test akkaunti bilan kirilgan (to'liq huquqlar); tugallanmagan buyurtma</t>
        </is>
      </c>
      <c r="H76" s="27" t="inlineStr">
        <is>
          <t>1. «Bekor qilindi»ni tanlash
2. Sabab (bog'lana olmadik, noto'g'ri filial, dublikat, noto'g'ri mahsulot, rasmiylashtirishda xato, olib ketmadi, boshqa)
3. «Saqlash»</t>
        </is>
      </c>
      <c r="I76" s="27" t="inlineStr"/>
      <c r="J76" s="27" t="inlineStr">
        <is>
          <t>Sababsiz bekor qilib bo'lmaydi; «Boshqa» izoh talab qiladi; mahsulot omborga qaytadi; mijozga sabab matni bilan bildirishnoma</t>
        </is>
      </c>
      <c r="K76" s="27" t="inlineStr">
        <is>
          <t>PRD Buyurtmani bekor qilish</t>
        </is>
      </c>
      <c r="L76" s="29" t="inlineStr">
        <is>
          <t>Ha</t>
        </is>
      </c>
      <c r="M76" s="27" t="inlineStr"/>
      <c r="N76" s="29" t="inlineStr">
        <is>
          <t>Avtomatlashtirilmagan</t>
        </is>
      </c>
      <c r="O76" s="27" t="inlineStr"/>
      <c r="P76" s="29" t="inlineStr">
        <is>
          <t>Bajarilmagan</t>
        </is>
      </c>
      <c r="Q76" s="27" t="inlineStr"/>
    </row>
    <row r="77" ht="48" customHeight="1">
      <c r="A77" s="26" t="inlineStr">
        <is>
          <t>ORD-006</t>
        </is>
      </c>
      <c r="B77" s="27" t="inlineStr">
        <is>
          <t>Buyurtmalar</t>
        </is>
      </c>
      <c r="C77" s="27" t="inlineStr">
        <is>
          <t>Bekor qilish</t>
        </is>
      </c>
      <c r="D77" s="28" t="inlineStr">
        <is>
          <t>O'tkazmali buyurtmani bekor qilish</t>
        </is>
      </c>
      <c r="E77" s="29" t="inlineStr">
        <is>
          <t>P2</t>
        </is>
      </c>
      <c r="F77" s="29" t="inlineStr">
        <is>
          <t>Functional</t>
        </is>
      </c>
      <c r="G77" s="27" t="inlineStr">
        <is>
          <t>O'tkazmasi «Yaratilgan» / «Yo'lda» buyurtma</t>
        </is>
      </c>
      <c r="H77" s="27" t="inlineStr">
        <is>
          <t>1. Buyurtmani bekor qilish</t>
        </is>
      </c>
      <c r="I77" s="27" t="inlineStr"/>
      <c r="J77" s="27" t="inlineStr">
        <is>
          <t>«Yaratilgan» — o'tkazma bekor, mahsulot jo'natuvchiga qaytadi; «Yo'lda» — qabul qilinguncha o'zgarishsiz</t>
        </is>
      </c>
      <c r="K77" s="27" t="inlineStr"/>
      <c r="L77" s="29" t="inlineStr">
        <is>
          <t>Ha</t>
        </is>
      </c>
      <c r="M77" s="27" t="inlineStr"/>
      <c r="N77" s="29" t="inlineStr">
        <is>
          <t>Avtomatlashtirilmagan</t>
        </is>
      </c>
      <c r="O77" s="27" t="inlineStr"/>
      <c r="P77" s="29" t="inlineStr">
        <is>
          <t>Bajarilmagan</t>
        </is>
      </c>
      <c r="Q77" s="27" t="inlineStr"/>
    </row>
    <row r="78" ht="48" customHeight="1">
      <c r="A78" s="26" t="inlineStr">
        <is>
          <t>ORD-007</t>
        </is>
      </c>
      <c r="B78" s="27" t="inlineStr">
        <is>
          <t>Buyurtmalar</t>
        </is>
      </c>
      <c r="C78" s="27" t="inlineStr">
        <is>
          <t>O'tkazma</t>
        </is>
      </c>
      <c r="D78" s="28" t="inlineStr">
        <is>
          <t>Buyurtma kartasidan o'tkazmani qabul qilish</t>
        </is>
      </c>
      <c r="E78" s="29" t="inlineStr">
        <is>
          <t>P2</t>
        </is>
      </c>
      <c r="F78" s="29" t="inlineStr">
        <is>
          <t>Functional</t>
        </is>
      </c>
      <c r="G78" s="27" t="inlineStr">
        <is>
          <t>O'tkazmasi «Yo'lda» buyurtma, qabul qiluvchi ombor foydalanuvchisi</t>
        </is>
      </c>
      <c r="H78" s="27" t="inlineStr">
        <is>
          <t>1. Buyurtma kartasida «Qabul qilish»</t>
        </is>
      </c>
      <c r="I78" s="27" t="inlineStr"/>
      <c r="J78" s="27" t="inlineStr">
        <is>
          <t>O'tkazma to'liq qabul qilinadi, buyurtma «Qabul qilindi»; boshqa ombor qabul qila olmaydi</t>
        </is>
      </c>
      <c r="K78" s="27" t="inlineStr">
        <is>
          <t>PRD Admin Order ORD-010</t>
        </is>
      </c>
      <c r="L78" s="29" t="inlineStr">
        <is>
          <t>Ha</t>
        </is>
      </c>
      <c r="M78" s="27" t="inlineStr"/>
      <c r="N78" s="29" t="inlineStr">
        <is>
          <t>Avtomatlashtirilmagan</t>
        </is>
      </c>
      <c r="O78" s="27" t="inlineStr"/>
      <c r="P78" s="29" t="inlineStr">
        <is>
          <t>Bajarilmagan</t>
        </is>
      </c>
      <c r="Q78" s="27" t="inlineStr"/>
    </row>
    <row r="79" ht="34" customHeight="1">
      <c r="A79" s="26" t="inlineStr">
        <is>
          <t>ORD-008</t>
        </is>
      </c>
      <c r="B79" s="27" t="inlineStr">
        <is>
          <t>Buyurtmalar</t>
        </is>
      </c>
      <c r="C79" s="27" t="inlineStr">
        <is>
          <t>To'lov</t>
        </is>
      </c>
      <c r="D79" s="28" t="inlineStr">
        <is>
          <t>To'lov holati alohida o'zgaradi</t>
        </is>
      </c>
      <c r="E79" s="29" t="inlineStr">
        <is>
          <t>P2</t>
        </is>
      </c>
      <c r="F79" s="29" t="inlineStr">
        <is>
          <t>Functional</t>
        </is>
      </c>
      <c r="G79" s="27" t="inlineStr">
        <is>
          <t>Naqd to'lovli buyurtma</t>
        </is>
      </c>
      <c r="H79" s="27" t="inlineStr">
        <is>
          <t>1. To'lovni to'langan deb belgilash</t>
        </is>
      </c>
      <c r="I79" s="27" t="inlineStr"/>
      <c r="J79" s="27" t="inlineStr">
        <is>
          <t>Faqat to'lov o'zgaradi; buyurtma statusi o'zgarmaydi; mijoz «To'landi»ni ko'radi</t>
        </is>
      </c>
      <c r="K79" s="27" t="inlineStr"/>
      <c r="L79" s="29" t="inlineStr">
        <is>
          <t>Ha</t>
        </is>
      </c>
      <c r="M79" s="27" t="inlineStr"/>
      <c r="N79" s="29" t="inlineStr">
        <is>
          <t>Avtomatlashtirilmagan</t>
        </is>
      </c>
      <c r="O79" s="27" t="inlineStr"/>
      <c r="P79" s="29" t="inlineStr">
        <is>
          <t>Bajarilmagan</t>
        </is>
      </c>
      <c r="Q79" s="27" t="inlineStr"/>
    </row>
    <row r="80" ht="48" customHeight="1">
      <c r="A80" s="26" t="inlineStr">
        <is>
          <t>ORD-009</t>
        </is>
      </c>
      <c r="B80" s="27" t="inlineStr">
        <is>
          <t>Buyurtmalar</t>
        </is>
      </c>
      <c r="C80" s="27" t="inlineStr">
        <is>
          <t>To'lov turini o'zgartirish</t>
        </is>
      </c>
      <c r="D80" s="28" t="inlineStr">
        <is>
          <t>Mijozga to'lov turini o'zgartirish so'rovi</t>
        </is>
      </c>
      <c r="E80" s="29" t="inlineStr">
        <is>
          <t>P1</t>
        </is>
      </c>
      <c r="F80" s="29" t="inlineStr">
        <is>
          <t>Functional</t>
        </is>
      </c>
      <c r="G80" s="27" t="inlineStr">
        <is>
          <t>Buyurtma: Yaratilgan/Yuborildi/Qabul qilindi, to'lanmagan</t>
        </is>
      </c>
      <c r="H80" s="27" t="inlineStr">
        <is>
          <t>1. «To'lov turini o'zgartirish»: Naqd → Hamyon (usta uchun muddat faqat o'qish)
2. «So'rov yuborish»</t>
        </is>
      </c>
      <c r="I80" s="27" t="inlineStr"/>
      <c r="J80" s="27" t="inlineStr">
        <is>
          <t>«Mijoz tasdig'i kutilmoqda» banneri, bekor qilish mumkin; mijozga push; javobgacha to'lov turi o'zgarmaydi</t>
        </is>
      </c>
      <c r="K80" s="27" t="inlineStr">
        <is>
          <t>PRD Change Payment Method</t>
        </is>
      </c>
      <c r="L80" s="29" t="inlineStr">
        <is>
          <t>Ha</t>
        </is>
      </c>
      <c r="M80" s="27" t="inlineStr"/>
      <c r="N80" s="29" t="inlineStr">
        <is>
          <t>Avtomatlashtirilmagan</t>
        </is>
      </c>
      <c r="O80" s="27" t="inlineStr"/>
      <c r="P80" s="29" t="inlineStr">
        <is>
          <t>Bajarilmagan</t>
        </is>
      </c>
      <c r="Q80" s="27" t="inlineStr"/>
    </row>
    <row r="81" ht="48" customHeight="1">
      <c r="A81" s="26" t="inlineStr">
        <is>
          <t>ORD-010</t>
        </is>
      </c>
      <c r="B81" s="27" t="inlineStr">
        <is>
          <t>Buyurtmalar</t>
        </is>
      </c>
      <c r="C81" s="27" t="inlineStr">
        <is>
          <t>To'lov turini o'zgartirish</t>
        </is>
      </c>
      <c r="D81" s="28" t="inlineStr">
        <is>
          <t>Ochiq so'rov bilan status o'zgartirishdan himoya</t>
        </is>
      </c>
      <c r="E81" s="29" t="inlineStr">
        <is>
          <t>P2</t>
        </is>
      </c>
      <c r="F81" s="29" t="inlineStr">
        <is>
          <t>Functional</t>
        </is>
      </c>
      <c r="G81" s="27" t="inlineStr">
        <is>
          <t>To'lov turini o'zgartirish so'rovi bor</t>
        </is>
      </c>
      <c r="H81" s="27" t="inlineStr">
        <is>
          <t>1. Buyurtmani «Bajarildi»ga o'tkazish</t>
        </is>
      </c>
      <c r="I81" s="27" t="inlineStr"/>
      <c r="J81" s="27" t="inlineStr">
        <is>
          <t>«So'rov avtomatik bekor qilinadi — davom etasizmi?» oynasi; «Ha» bosilsa so'rov bekor va status o'zgaradi</t>
        </is>
      </c>
      <c r="K81" s="27" t="inlineStr"/>
      <c r="L81" s="29" t="inlineStr">
        <is>
          <t>Ha</t>
        </is>
      </c>
      <c r="M81" s="27" t="inlineStr"/>
      <c r="N81" s="29" t="inlineStr">
        <is>
          <t>Avtomatlashtirilmagan</t>
        </is>
      </c>
      <c r="O81" s="27" t="inlineStr"/>
      <c r="P81" s="29" t="inlineStr">
        <is>
          <t>Bajarilmagan</t>
        </is>
      </c>
      <c r="Q81" s="27" t="inlineStr"/>
    </row>
    <row r="82" ht="34" customHeight="1">
      <c r="A82" s="26" t="inlineStr">
        <is>
          <t>ORD-011</t>
        </is>
      </c>
      <c r="B82" s="27" t="inlineStr">
        <is>
          <t>Buyurtmalar</t>
        </is>
      </c>
      <c r="C82" s="27" t="inlineStr">
        <is>
          <t>To'lov turini o'zgartirish</t>
        </is>
      </c>
      <c r="D82" s="28" t="inlineStr">
        <is>
          <t>Yopilgan buyurtmalarda to'lov turini o'zgartirib bo'lmaydi</t>
        </is>
      </c>
      <c r="E82" s="29" t="inlineStr">
        <is>
          <t>P2</t>
        </is>
      </c>
      <c r="F82" s="29" t="inlineStr">
        <is>
          <t>Negative</t>
        </is>
      </c>
      <c r="G82" s="27" t="inlineStr">
        <is>
          <t>Buyurtma Bajarildi / Bekor qilindi / Qaytarilgan</t>
        </is>
      </c>
      <c r="H82" s="27" t="inlineStr">
        <is>
          <t>1. To'lov blokini ochish</t>
        </is>
      </c>
      <c r="I82" s="27" t="inlineStr"/>
      <c r="J82" s="27" t="inlineStr">
        <is>
          <t>«Payment method cannot be changed for this order»</t>
        </is>
      </c>
      <c r="K82" s="27" t="inlineStr"/>
      <c r="L82" s="29" t="inlineStr">
        <is>
          <t>Ha</t>
        </is>
      </c>
      <c r="M82" s="27" t="inlineStr"/>
      <c r="N82" s="29" t="inlineStr">
        <is>
          <t>Avtomatlashtirilmagan</t>
        </is>
      </c>
      <c r="O82" s="27" t="inlineStr"/>
      <c r="P82" s="29" t="inlineStr">
        <is>
          <t>Bajarilmagan</t>
        </is>
      </c>
      <c r="Q82" s="27" t="inlineStr"/>
    </row>
    <row r="83" ht="34" customHeight="1">
      <c r="A83" s="26" t="inlineStr">
        <is>
          <t>ORD-012</t>
        </is>
      </c>
      <c r="B83" s="27" t="inlineStr">
        <is>
          <t>Buyurtmalar</t>
        </is>
      </c>
      <c r="C83" s="27" t="inlineStr">
        <is>
          <t>Ballar</t>
        </is>
      </c>
      <c r="D83" s="28" t="inlineStr">
        <is>
          <t>Buyurtma bajarilganda 1% ball beriladi</t>
        </is>
      </c>
      <c r="E83" s="29" t="inlineStr">
        <is>
          <t>P1</t>
        </is>
      </c>
      <c r="F83" s="29" t="inlineStr">
        <is>
          <t>Integration</t>
        </is>
      </c>
      <c r="G83" s="27" t="inlineStr">
        <is>
          <t>Mijoz buyurtmasi ball bilan to'lanmagan</t>
        </is>
      </c>
      <c r="H83" s="27" t="inlineStr">
        <is>
          <t>1. «Bajarildi»ga o'tkazish</t>
        </is>
      </c>
      <c r="I83" s="27" t="inlineStr"/>
      <c r="J83" s="27" t="inlineStr">
        <is>
          <t>Buyurtma narxining 1% i beriladi; Ball tranzaksiyalarida — «Buyurtma uchun berildi»</t>
        </is>
      </c>
      <c r="K83" s="27" t="inlineStr"/>
      <c r="L83" s="29" t="inlineStr">
        <is>
          <t>Ha</t>
        </is>
      </c>
      <c r="M83" s="27" t="inlineStr"/>
      <c r="N83" s="29" t="inlineStr">
        <is>
          <t>Avtomatlashtirilmagan</t>
        </is>
      </c>
      <c r="O83" s="27" t="inlineStr"/>
      <c r="P83" s="29" t="inlineStr">
        <is>
          <t>Bajarilmagan</t>
        </is>
      </c>
      <c r="Q83" s="27" t="inlineStr"/>
    </row>
    <row r="84" ht="48" customHeight="1">
      <c r="A84" s="26" t="inlineStr">
        <is>
          <t>ORD-013</t>
        </is>
      </c>
      <c r="B84" s="27" t="inlineStr">
        <is>
          <t>Buyurtmalar</t>
        </is>
      </c>
      <c r="C84" s="27" t="inlineStr">
        <is>
          <t>Qarz</t>
        </is>
      </c>
      <c r="D84" s="28" t="inlineStr">
        <is>
          <t>Hamyon buyurtmasini bajarish va filial limiti</t>
        </is>
      </c>
      <c r="E84" s="29" t="inlineStr">
        <is>
          <t>P1</t>
        </is>
      </c>
      <c r="F84" s="29" t="inlineStr">
        <is>
          <t>Integration</t>
        </is>
      </c>
      <c r="G84" s="27" t="inlineStr">
        <is>
          <t>Hamyon buyurtmasi; filial qarzi limitga yaqin</t>
        </is>
      </c>
      <c r="H84" s="27" t="inlineStr">
        <is>
          <t>1. «Bajarildi»ga o'tkazish</t>
        </is>
      </c>
      <c r="I84" s="27" t="inlineStr"/>
      <c r="J84" s="27" t="inlineStr">
        <is>
          <t>Limit oshsa — raqamlar bilan blok; aks holda Bajarildi, to'lov muddati = bajarilgan sana + N kun, 17:00</t>
        </is>
      </c>
      <c r="K84" s="27" t="inlineStr">
        <is>
          <t>PRD Filial qarz limiti; PRD Debt Limit</t>
        </is>
      </c>
      <c r="L84" s="29" t="inlineStr">
        <is>
          <t>Ha</t>
        </is>
      </c>
      <c r="M84" s="27" t="inlineStr"/>
      <c r="N84" s="29" t="inlineStr">
        <is>
          <t>Avtomatlashtirilmagan</t>
        </is>
      </c>
      <c r="O84" s="27" t="inlineStr"/>
      <c r="P84" s="29" t="inlineStr">
        <is>
          <t>Bajarilmagan</t>
        </is>
      </c>
      <c r="Q84" s="27" t="inlineStr"/>
    </row>
    <row r="85" ht="34" customHeight="1">
      <c r="A85" s="26" t="inlineStr">
        <is>
          <t>ORD-014</t>
        </is>
      </c>
      <c r="B85" s="27" t="inlineStr">
        <is>
          <t>Buyurtmalar</t>
        </is>
      </c>
      <c r="C85" s="27" t="inlineStr">
        <is>
          <t>Chop etish</t>
        </is>
      </c>
      <c r="D85" s="28" t="inlineStr">
        <is>
          <t>Buyurtmani chop etish</t>
        </is>
      </c>
      <c r="E85" s="29" t="inlineStr">
        <is>
          <t>P3</t>
        </is>
      </c>
      <c r="F85" s="29" t="inlineStr">
        <is>
          <t>UI</t>
        </is>
      </c>
      <c r="G85" s="27" t="inlineStr">
        <is>
          <t>Buyurtma bor</t>
        </is>
      </c>
      <c r="H85" s="27" t="inlineStr">
        <is>
          <t>1. «Chop etish»</t>
        </is>
      </c>
      <c r="I85" s="27" t="inlineStr"/>
      <c r="J85" s="27" t="inlineStr">
        <is>
          <t>Buyurtmaning chop etish shakli</t>
        </is>
      </c>
      <c r="K85" s="27" t="inlineStr"/>
      <c r="L85" s="29" t="inlineStr">
        <is>
          <t>Ha</t>
        </is>
      </c>
      <c r="M85" s="27" t="inlineStr"/>
      <c r="N85" s="29" t="inlineStr">
        <is>
          <t>Avtomatlashtirilmagan</t>
        </is>
      </c>
      <c r="O85" s="27" t="inlineStr"/>
      <c r="P85" s="29" t="inlineStr">
        <is>
          <t>Bajarilmagan</t>
        </is>
      </c>
      <c r="Q85" s="27" t="inlineStr"/>
    </row>
    <row r="86" ht="48" customHeight="1">
      <c r="A86" s="30" t="inlineStr">
        <is>
          <t>SW-001</t>
        </is>
      </c>
      <c r="B86" s="31" t="inlineStr">
        <is>
          <t>Sotuv oynasi</t>
        </is>
      </c>
      <c r="C86" s="31" t="inlineStr">
        <is>
          <t>Ro'yxat</t>
        </is>
      </c>
      <c r="D86" s="32" t="inlineStr">
        <is>
          <t>Sotuv oynasi hujjatlari ro'yxati</t>
        </is>
      </c>
      <c r="E86" s="33" t="inlineStr">
        <is>
          <t>P2</t>
        </is>
      </c>
      <c r="F86" s="33" t="inlineStr">
        <is>
          <t>Functional</t>
        </is>
      </c>
      <c r="G86" s="31" t="inlineStr">
        <is>
          <t>Admin panelga test akkaunti bilan kirilgan (to'liq huquqlar)</t>
        </is>
      </c>
      <c r="H86" s="31" t="inlineStr">
        <is>
          <t>1. Buyurtmalar → Sotuv oynasi
2. Filtrlar: sana, ombor, holat, savdo turi</t>
        </is>
      </c>
      <c r="I86" s="31" t="inlineStr"/>
      <c r="J86" s="31" t="inlineStr">
        <is>
          <t>Ustunlar: Id, mijoz, telefon, ombor, ijrochi, umumiy narx, yuborilgan, qabul qilingan sana, turi, taymer, holat</t>
        </is>
      </c>
      <c r="K86" s="31" t="inlineStr"/>
      <c r="L86" s="33" t="inlineStr">
        <is>
          <t>Ha</t>
        </is>
      </c>
      <c r="M86" s="31" t="inlineStr"/>
      <c r="N86" s="33" t="inlineStr">
        <is>
          <t>Avtomatlashtirilmagan</t>
        </is>
      </c>
      <c r="O86" s="31" t="inlineStr"/>
      <c r="P86" s="33" t="inlineStr">
        <is>
          <t>Bajarilmagan</t>
        </is>
      </c>
      <c r="Q86" s="31" t="inlineStr"/>
    </row>
    <row r="87" ht="76" customHeight="1">
      <c r="A87" s="30" t="inlineStr">
        <is>
          <t>SW-002</t>
        </is>
      </c>
      <c r="B87" s="31" t="inlineStr">
        <is>
          <t>Sotuv oynasi</t>
        </is>
      </c>
      <c r="C87" s="31" t="inlineStr">
        <is>
          <t>Yaratish</t>
        </is>
      </c>
      <c r="D87" s="32" t="inlineStr">
        <is>
          <t>Hujjat yaratish va mijozga yuborish</t>
        </is>
      </c>
      <c r="E87" s="33" t="inlineStr">
        <is>
          <t>P1</t>
        </is>
      </c>
      <c r="F87" s="33" t="inlineStr">
        <is>
          <t>Smoke</t>
        </is>
      </c>
      <c r="G87" s="31" t="inlineStr">
        <is>
          <t>Admin panelga test akkaunti bilan kirilgan (to'liq huquqlar)</t>
        </is>
      </c>
      <c r="H87" s="31" t="inlineStr">
        <is>
          <t>1. «Yaratish»: mijoz, ombor, savdo turi (Berib yuborildi / Taklif berildi), to'lov turi yoki «Mijoz tanlaydi»
2. Mahsulotlar, miqdor ≤ mavjud
3. «Send»</t>
        </is>
      </c>
      <c r="I87" s="31" t="inlineStr"/>
      <c r="J87" s="31" t="inlineStr">
        <is>
          <t>Holat «Jo'natilgan»; mahsulot band qilinadi; mijozga push; hujjat vitrinada «Maxsus buyurtma → Yangi»da</t>
        </is>
      </c>
      <c r="K87" s="31" t="inlineStr">
        <is>
          <t>PRD Sales window</t>
        </is>
      </c>
      <c r="L87" s="33" t="inlineStr">
        <is>
          <t>Ha</t>
        </is>
      </c>
      <c r="M87" s="31" t="inlineStr"/>
      <c r="N87" s="33" t="inlineStr">
        <is>
          <t>Avtomatlashtirilmagan</t>
        </is>
      </c>
      <c r="O87" s="31" t="inlineStr"/>
      <c r="P87" s="33" t="inlineStr">
        <is>
          <t>Bajarilmagan</t>
        </is>
      </c>
      <c r="Q87" s="31" t="inlineStr"/>
    </row>
    <row r="88" ht="48" customHeight="1">
      <c r="A88" s="30" t="inlineStr">
        <is>
          <t>SW-003</t>
        </is>
      </c>
      <c r="B88" s="31" t="inlineStr">
        <is>
          <t>Sotuv oynasi</t>
        </is>
      </c>
      <c r="C88" s="31" t="inlineStr">
        <is>
          <t>Validatsiya</t>
        </is>
      </c>
      <c r="D88" s="32" t="inlineStr">
        <is>
          <t>Miqdor mavjuddan ko'p</t>
        </is>
      </c>
      <c r="E88" s="33" t="inlineStr">
        <is>
          <t>P2</t>
        </is>
      </c>
      <c r="F88" s="33" t="inlineStr">
        <is>
          <t>Negative</t>
        </is>
      </c>
      <c r="G88" s="31" t="inlineStr">
        <is>
          <t>Admin panelga test akkaunti bilan kirilgan (to'liq huquqlar)</t>
        </is>
      </c>
      <c r="H88" s="31" t="inlineStr">
        <is>
          <t>1. Mavjuddan ko'p miqdor kiritish</t>
        </is>
      </c>
      <c r="I88" s="31" t="inlineStr"/>
      <c r="J88" s="31" t="inlineStr">
        <is>
          <t>Xato, saqlab bo'lmaydi</t>
        </is>
      </c>
      <c r="K88" s="31" t="inlineStr"/>
      <c r="L88" s="33" t="inlineStr">
        <is>
          <t>Ha</t>
        </is>
      </c>
      <c r="M88" s="31" t="inlineStr"/>
      <c r="N88" s="33" t="inlineStr">
        <is>
          <t>Avtomatlashtirilmagan</t>
        </is>
      </c>
      <c r="O88" s="31" t="inlineStr"/>
      <c r="P88" s="33" t="inlineStr">
        <is>
          <t>Bajarilmagan</t>
        </is>
      </c>
      <c r="Q88" s="31" t="inlineStr"/>
    </row>
    <row r="89" ht="34" customHeight="1">
      <c r="A89" s="30" t="inlineStr">
        <is>
          <t>SW-004</t>
        </is>
      </c>
      <c r="B89" s="31" t="inlineStr">
        <is>
          <t>Sotuv oynasi</t>
        </is>
      </c>
      <c r="C89" s="31" t="inlineStr">
        <is>
          <t>Hayot sikli</t>
        </is>
      </c>
      <c r="D89" s="32" t="inlineStr">
        <is>
          <t>Mijoz tasdiqlashi buyurtma yaratadi</t>
        </is>
      </c>
      <c r="E89" s="33" t="inlineStr">
        <is>
          <t>P1</t>
        </is>
      </c>
      <c r="F89" s="33" t="inlineStr">
        <is>
          <t>Integration</t>
        </is>
      </c>
      <c r="G89" s="31" t="inlineStr">
        <is>
          <t>Hujjat ustaga yuborilgan</t>
        </is>
      </c>
      <c r="H89" s="31" t="inlineStr">
        <is>
          <t>1. Usta vitrinada tasdiqlaydi
2. Hujjat va Buyurtmalar ni ochish</t>
        </is>
      </c>
      <c r="I89" s="31" t="inlineStr"/>
      <c r="J89" s="31" t="inlineStr">
        <is>
          <t>Hujjat «Qabul qilingan», oddiy buyurtma yaratilgan</t>
        </is>
      </c>
      <c r="K89" s="31" t="inlineStr"/>
      <c r="L89" s="33" t="inlineStr">
        <is>
          <t>Ha</t>
        </is>
      </c>
      <c r="M89" s="31" t="inlineStr"/>
      <c r="N89" s="33" t="inlineStr">
        <is>
          <t>Avtomatlashtirilmagan</t>
        </is>
      </c>
      <c r="O89" s="31" t="inlineStr"/>
      <c r="P89" s="33" t="inlineStr">
        <is>
          <t>Bajarilmagan</t>
        </is>
      </c>
      <c r="Q89" s="31" t="inlineStr"/>
    </row>
    <row r="90" ht="34" customHeight="1">
      <c r="A90" s="30" t="inlineStr">
        <is>
          <t>SW-005</t>
        </is>
      </c>
      <c r="B90" s="31" t="inlineStr">
        <is>
          <t>Sotuv oynasi</t>
        </is>
      </c>
      <c r="C90" s="31" t="inlineStr">
        <is>
          <t>Hayot sikli</t>
        </is>
      </c>
      <c r="D90" s="32" t="inlineStr">
        <is>
          <t>Hujjatni bekor qilish bandni qaytaradi</t>
        </is>
      </c>
      <c r="E90" s="33" t="inlineStr">
        <is>
          <t>P1</t>
        </is>
      </c>
      <c r="F90" s="33" t="inlineStr">
        <is>
          <t>Functional</t>
        </is>
      </c>
      <c r="G90" s="31" t="inlineStr">
        <is>
          <t>Hujjat «Saqlangan» yoki «Qaytarilgan»</t>
        </is>
      </c>
      <c r="H90" s="31" t="inlineStr">
        <is>
          <t>1. «Cancel»</t>
        </is>
      </c>
      <c r="I90" s="31" t="inlineStr"/>
      <c r="J90" s="31" t="inlineStr">
        <is>
          <t>Holat «Bekor qilingan», mahsulot omborga qaytadi, mijozga push</t>
        </is>
      </c>
      <c r="K90" s="31" t="inlineStr"/>
      <c r="L90" s="33" t="inlineStr">
        <is>
          <t>Ha</t>
        </is>
      </c>
      <c r="M90" s="31" t="inlineStr"/>
      <c r="N90" s="33" t="inlineStr">
        <is>
          <t>Avtomatlashtirilmagan</t>
        </is>
      </c>
      <c r="O90" s="31" t="inlineStr"/>
      <c r="P90" s="33" t="inlineStr">
        <is>
          <t>Bajarilmagan</t>
        </is>
      </c>
      <c r="Q90" s="31" t="inlineStr"/>
    </row>
    <row r="91" ht="34" customHeight="1">
      <c r="A91" s="30" t="inlineStr">
        <is>
          <t>SW-006</t>
        </is>
      </c>
      <c r="B91" s="31" t="inlineStr">
        <is>
          <t>Sotuv oynasi</t>
        </is>
      </c>
      <c r="C91" s="31" t="inlineStr">
        <is>
          <t>Taymer</t>
        </is>
      </c>
      <c r="D91" s="32" t="inlineStr">
        <is>
          <t>Taklifning taymer bo'yicha avtomatik qaytishi</t>
        </is>
      </c>
      <c r="E91" s="33" t="inlineStr">
        <is>
          <t>P3</t>
        </is>
      </c>
      <c r="F91" s="33" t="inlineStr">
        <is>
          <t>Functional</t>
        </is>
      </c>
      <c r="G91" s="31" t="inlineStr">
        <is>
          <t>«Taklif berildi» hujjati yuborilgan</t>
        </is>
      </c>
      <c r="H91" s="31" t="inlineStr">
        <is>
          <t>1. Taymer tugashini kutish</t>
        </is>
      </c>
      <c r="I91" s="31" t="inlineStr"/>
      <c r="J91" s="31" t="inlineStr">
        <is>
          <t>Hujjat avtomatik qaytadi; «Berib yuborildi» taymersiz kutadi</t>
        </is>
      </c>
      <c r="K91" s="31" t="inlineStr"/>
      <c r="L91" s="33" t="inlineStr">
        <is>
          <t>Yo'q</t>
        </is>
      </c>
      <c r="M91" s="31" t="inlineStr">
        <is>
          <t>Uzoq kutish</t>
        </is>
      </c>
      <c r="N91" s="33" t="inlineStr">
        <is>
          <t>Avtomatlashtirilmagan</t>
        </is>
      </c>
      <c r="O91" s="31" t="inlineStr"/>
      <c r="P91" s="33" t="inlineStr">
        <is>
          <t>Bajarilmagan</t>
        </is>
      </c>
      <c r="Q91" s="31" t="inlineStr"/>
    </row>
    <row r="92" ht="34" customHeight="1">
      <c r="A92" s="30" t="inlineStr">
        <is>
          <t>SW-007</t>
        </is>
      </c>
      <c r="B92" s="31" t="inlineStr">
        <is>
          <t>Sotuv oynasi</t>
        </is>
      </c>
      <c r="C92" s="31" t="inlineStr">
        <is>
          <t>Turi</t>
        </is>
      </c>
      <c r="D92" s="32" t="inlineStr">
        <is>
          <t>Savdo turini o'zgartirish</t>
        </is>
      </c>
      <c r="E92" s="33" t="inlineStr">
        <is>
          <t>P3</t>
        </is>
      </c>
      <c r="F92" s="33" t="inlineStr">
        <is>
          <t>Functional</t>
        </is>
      </c>
      <c r="G92" s="31" t="inlineStr">
        <is>
          <t>Hujjat Saqlangan / Jo'natilgan / Qaytarilgan</t>
        </is>
      </c>
      <c r="H92" s="31" t="inlineStr">
        <is>
          <t>1. Berib yuborildi ↔ Taklif berildi o'zgartirish</t>
        </is>
      </c>
      <c r="I92" s="31" t="inlineStr"/>
      <c r="J92" s="31" t="inlineStr">
        <is>
          <t>Taymer qayta boshlanadi / o'chadi; Qabul qilingan / Bekor qilinganda tur o'zgarmaydi</t>
        </is>
      </c>
      <c r="K92" s="31" t="inlineStr"/>
      <c r="L92" s="33" t="inlineStr">
        <is>
          <t>Ha</t>
        </is>
      </c>
      <c r="M92" s="31" t="inlineStr"/>
      <c r="N92" s="33" t="inlineStr">
        <is>
          <t>Avtomatlashtirilmagan</t>
        </is>
      </c>
      <c r="O92" s="31" t="inlineStr"/>
      <c r="P92" s="33" t="inlineStr">
        <is>
          <t>Bajarilmagan</t>
        </is>
      </c>
      <c r="Q92" s="31" t="inlineStr"/>
    </row>
    <row r="93" ht="48" customHeight="1">
      <c r="A93" s="26" t="inlineStr">
        <is>
          <t>RET-001</t>
        </is>
      </c>
      <c r="B93" s="27" t="inlineStr">
        <is>
          <t>Mahsulot qaytarish</t>
        </is>
      </c>
      <c r="C93" s="27" t="inlineStr">
        <is>
          <t>Ro'yxat</t>
        </is>
      </c>
      <c r="D93" s="28" t="inlineStr">
        <is>
          <t>Qaytarishlar ro'yxati</t>
        </is>
      </c>
      <c r="E93" s="29" t="inlineStr">
        <is>
          <t>P2</t>
        </is>
      </c>
      <c r="F93" s="29" t="inlineStr">
        <is>
          <t>Functional</t>
        </is>
      </c>
      <c r="G93" s="27" t="inlineStr">
        <is>
          <t>Admin panelga test akkaunti bilan kirilgan (to'liq huquqlar)</t>
        </is>
      </c>
      <c r="H93" s="27" t="inlineStr">
        <is>
          <t>1. Buyurtmalar → Mahsulot qaytarish
2. Filtrlar: sana, ombor, variant</t>
        </is>
      </c>
      <c r="I93" s="27" t="inlineStr"/>
      <c r="J93" s="27" t="inlineStr">
        <is>
          <t>Ustunlar: Id, nomi, ombor, yaratilgan sana, umumiy qaytarish summasi</t>
        </is>
      </c>
      <c r="K93" s="27" t="inlineStr"/>
      <c r="L93" s="29" t="inlineStr">
        <is>
          <t>Ha</t>
        </is>
      </c>
      <c r="M93" s="27" t="inlineStr"/>
      <c r="N93" s="29" t="inlineStr">
        <is>
          <t>Avtomatlashtirilmagan</t>
        </is>
      </c>
      <c r="O93" s="27" t="inlineStr"/>
      <c r="P93" s="29" t="inlineStr">
        <is>
          <t>Bajarilmagan</t>
        </is>
      </c>
      <c r="Q93" s="27" t="inlineStr"/>
    </row>
    <row r="94" ht="48" customHeight="1">
      <c r="A94" s="26" t="inlineStr">
        <is>
          <t>RET-002</t>
        </is>
      </c>
      <c r="B94" s="27" t="inlineStr">
        <is>
          <t>Mahsulot qaytarish</t>
        </is>
      </c>
      <c r="C94" s="27" t="inlineStr">
        <is>
          <t>Yaratish</t>
        </is>
      </c>
      <c r="D94" s="28" t="inlineStr">
        <is>
          <t>Soz mahsulotni naqd pulga qaytarish</t>
        </is>
      </c>
      <c r="E94" s="29" t="inlineStr">
        <is>
          <t>P1</t>
        </is>
      </c>
      <c r="F94" s="29" t="inlineStr">
        <is>
          <t>Smoke</t>
        </is>
      </c>
      <c r="G94" s="27" t="inlineStr">
        <is>
          <t>Mijozda bajarilgan buyurtma bor</t>
        </is>
      </c>
      <c r="H94" s="27" t="inlineStr">
        <is>
          <t>1. «Yaratish»: mijoz, buyurtma qatori
2. Working return = 1, to'lov «Naqd»
3. «Return»</t>
        </is>
      </c>
      <c r="I94" s="27" t="inlineStr"/>
      <c r="J94" s="27" t="inlineStr">
        <is>
          <t>Qaytarish yaratiladi; mahsulot ishchi qoldiqqa; mijozga naqd; vitrinada qaytarish «Qaytarildi»</t>
        </is>
      </c>
      <c r="K94" s="27" t="inlineStr">
        <is>
          <t>PRD Product Return</t>
        </is>
      </c>
      <c r="L94" s="29" t="inlineStr">
        <is>
          <t>Ha</t>
        </is>
      </c>
      <c r="M94" s="27" t="inlineStr"/>
      <c r="N94" s="29" t="inlineStr">
        <is>
          <t>Avtomatlashtirilmagan</t>
        </is>
      </c>
      <c r="O94" s="27" t="inlineStr"/>
      <c r="P94" s="29" t="inlineStr">
        <is>
          <t>Bajarilmagan</t>
        </is>
      </c>
      <c r="Q94" s="27" t="inlineStr"/>
    </row>
    <row r="95" ht="34" customHeight="1">
      <c r="A95" s="26" t="inlineStr">
        <is>
          <t>RET-003</t>
        </is>
      </c>
      <c r="B95" s="27" t="inlineStr">
        <is>
          <t>Mahsulot qaytarish</t>
        </is>
      </c>
      <c r="C95" s="27" t="inlineStr">
        <is>
          <t>Yaratish</t>
        </is>
      </c>
      <c r="D95" s="28" t="inlineStr">
        <is>
          <t>Bitta qatorda brak va soz</t>
        </is>
      </c>
      <c r="E95" s="29" t="inlineStr">
        <is>
          <t>P2</t>
        </is>
      </c>
      <c r="F95" s="29" t="inlineStr">
        <is>
          <t>Functional</t>
        </is>
      </c>
      <c r="G95" s="27" t="inlineStr">
        <is>
          <t>2 donali buyurtma qatori</t>
        </is>
      </c>
      <c r="H95" s="27" t="inlineStr">
        <is>
          <t>1. Working 1, Broken 1</t>
        </is>
      </c>
      <c r="I95" s="27" t="inlineStr"/>
      <c r="J95" s="27" t="inlineStr">
        <is>
          <t>Soz — ishchi qoldiqqa, brak — brak omboriga</t>
        </is>
      </c>
      <c r="K95" s="27" t="inlineStr"/>
      <c r="L95" s="29" t="inlineStr">
        <is>
          <t>Ha</t>
        </is>
      </c>
      <c r="M95" s="27" t="inlineStr"/>
      <c r="N95" s="29" t="inlineStr">
        <is>
          <t>Avtomatlashtirilmagan</t>
        </is>
      </c>
      <c r="O95" s="27" t="inlineStr"/>
      <c r="P95" s="29" t="inlineStr">
        <is>
          <t>Bajarilmagan</t>
        </is>
      </c>
      <c r="Q95" s="27" t="inlineStr"/>
    </row>
    <row r="96" ht="34" customHeight="1">
      <c r="A96" s="26" t="inlineStr">
        <is>
          <t>RET-004</t>
        </is>
      </c>
      <c r="B96" s="27" t="inlineStr">
        <is>
          <t>Mahsulot qaytarish</t>
        </is>
      </c>
      <c r="C96" s="27" t="inlineStr">
        <is>
          <t>Yaratish</t>
        </is>
      </c>
      <c r="D96" s="28" t="inlineStr">
        <is>
          <t>Sotilgandan ko'p qaytarish</t>
        </is>
      </c>
      <c r="E96" s="29" t="inlineStr">
        <is>
          <t>P1</t>
        </is>
      </c>
      <c r="F96" s="29" t="inlineStr">
        <is>
          <t>Negative</t>
        </is>
      </c>
      <c r="G96" s="27" t="inlineStr">
        <is>
          <t>Qator: sotilgan 2, qaytarilgan 1</t>
        </is>
      </c>
      <c r="H96" s="27" t="inlineStr">
        <is>
          <t>1. 2 dona qaytarish</t>
        </is>
      </c>
      <c r="I96" s="27" t="inlineStr"/>
      <c r="J96" s="27" t="inlineStr">
        <is>
          <t>Mumkin emas: faqat 1 ta mavjud; to'liq qaytarilgan qatorlar tanlanmaydi</t>
        </is>
      </c>
      <c r="K96" s="27" t="inlineStr"/>
      <c r="L96" s="29" t="inlineStr">
        <is>
          <t>Ha</t>
        </is>
      </c>
      <c r="M96" s="27" t="inlineStr"/>
      <c r="N96" s="29" t="inlineStr">
        <is>
          <t>Avtomatlashtirilmagan</t>
        </is>
      </c>
      <c r="O96" s="27" t="inlineStr"/>
      <c r="P96" s="29" t="inlineStr">
        <is>
          <t>Bajarilmagan</t>
        </is>
      </c>
      <c r="Q96" s="27" t="inlineStr"/>
    </row>
    <row r="97" ht="34" customHeight="1">
      <c r="A97" s="26" t="inlineStr">
        <is>
          <t>RET-005</t>
        </is>
      </c>
      <c r="B97" s="27" t="inlineStr">
        <is>
          <t>Mahsulot qaytarish</t>
        </is>
      </c>
      <c r="C97" s="27" t="inlineStr">
        <is>
          <t>To'lov</t>
        </is>
      </c>
      <c r="D97" s="28" t="inlineStr">
        <is>
          <t>Hamyon va ballarga qaytarish</t>
        </is>
      </c>
      <c r="E97" s="29" t="inlineStr">
        <is>
          <t>P2</t>
        </is>
      </c>
      <c r="F97" s="29" t="inlineStr">
        <is>
          <t>Integration</t>
        </is>
      </c>
      <c r="G97" s="27" t="inlineStr">
        <is>
          <t>Mijoz buyurtmasi Hamyon / ball bilan to'langan</t>
        </is>
      </c>
      <c r="H97" s="27" t="inlineStr">
        <is>
          <t>1. Qaytarishni rasmiylashtirish</t>
        </is>
      </c>
      <c r="I97" s="27" t="inlineStr"/>
      <c r="J97" s="27" t="inlineStr">
        <is>
          <t>Hamyon — qarz kamayadi/hamyon to'ldiriladi; ballar — qaytariladi; berilgan 1% chiqariladi</t>
        </is>
      </c>
      <c r="K97" s="27" t="inlineStr"/>
      <c r="L97" s="29" t="inlineStr">
        <is>
          <t>Ha</t>
        </is>
      </c>
      <c r="M97" s="27" t="inlineStr"/>
      <c r="N97" s="29" t="inlineStr">
        <is>
          <t>Avtomatlashtirilmagan</t>
        </is>
      </c>
      <c r="O97" s="27" t="inlineStr"/>
      <c r="P97" s="29" t="inlineStr">
        <is>
          <t>Bajarilmagan</t>
        </is>
      </c>
      <c r="Q97" s="27" t="inlineStr"/>
    </row>
    <row r="98" ht="34" customHeight="1">
      <c r="A98" s="26" t="inlineStr">
        <is>
          <t>RET-006</t>
        </is>
      </c>
      <c r="B98" s="27" t="inlineStr">
        <is>
          <t>Mahsulot qaytarish</t>
        </is>
      </c>
      <c r="C98" s="27" t="inlineStr">
        <is>
          <t>To'lov</t>
        </is>
      </c>
      <c r="D98" s="28" t="inlineStr">
        <is>
          <t>Muddati o'tgan qarzda faqat hamyonga qaytarish</t>
        </is>
      </c>
      <c r="E98" s="29" t="inlineStr">
        <is>
          <t>P2</t>
        </is>
      </c>
      <c r="F98" s="29" t="inlineStr">
        <is>
          <t>Integration</t>
        </is>
      </c>
      <c r="G98" s="27" t="inlineStr">
        <is>
          <t>Mijozda muddati o'tgan qarz bor</t>
        </is>
      </c>
      <c r="H98" s="27" t="inlineStr">
        <is>
          <t>1. Qaytarishni rasmiylashtirish</t>
        </is>
      </c>
      <c r="I98" s="27" t="inlineStr"/>
      <c r="J98" s="27" t="inlineStr">
        <is>
          <t>Faqat hamyonga qaytarish mumkin</t>
        </is>
      </c>
      <c r="K98" s="27" t="inlineStr">
        <is>
          <t>PRD Qaytarish — muddati o'tgan qarz</t>
        </is>
      </c>
      <c r="L98" s="29" t="inlineStr">
        <is>
          <t>Qisman</t>
        </is>
      </c>
      <c r="M98" s="27" t="inlineStr"/>
      <c r="N98" s="29" t="inlineStr">
        <is>
          <t>Avtomatlashtirilmagan</t>
        </is>
      </c>
      <c r="O98" s="27" t="inlineStr"/>
      <c r="P98" s="29" t="inlineStr">
        <is>
          <t>Bajarilmagan</t>
        </is>
      </c>
      <c r="Q98" s="27" t="inlineStr"/>
    </row>
    <row r="99" ht="34" customHeight="1">
      <c r="A99" s="26" t="inlineStr">
        <is>
          <t>RET-007</t>
        </is>
      </c>
      <c r="B99" s="27" t="inlineStr">
        <is>
          <t>Mahsulot qaytarish</t>
        </is>
      </c>
      <c r="C99" s="27" t="inlineStr">
        <is>
          <t>Chop etish</t>
        </is>
      </c>
      <c r="D99" s="28" t="inlineStr">
        <is>
          <t>Qaytarish cheki va yorliqlar</t>
        </is>
      </c>
      <c r="E99" s="29" t="inlineStr">
        <is>
          <t>P3</t>
        </is>
      </c>
      <c r="F99" s="29" t="inlineStr">
        <is>
          <t>UI</t>
        </is>
      </c>
      <c r="G99" s="27" t="inlineStr">
        <is>
          <t>Qaytarish bor</t>
        </is>
      </c>
      <c r="H99" s="27" t="inlineStr">
        <is>
          <t>1. «Chop etish» va «Chek chiqarish»</t>
        </is>
      </c>
      <c r="I99" s="27" t="inlineStr"/>
      <c r="J99" s="27" t="inlineStr">
        <is>
          <t>Qaytarish cheki (naqd / hamyonga / jami) va yorliqlar</t>
        </is>
      </c>
      <c r="K99" s="27" t="inlineStr"/>
      <c r="L99" s="29" t="inlineStr">
        <is>
          <t>Ha</t>
        </is>
      </c>
      <c r="M99" s="27" t="inlineStr"/>
      <c r="N99" s="29" t="inlineStr">
        <is>
          <t>Avtomatlashtirilmagan</t>
        </is>
      </c>
      <c r="O99" s="27" t="inlineStr"/>
      <c r="P99" s="29" t="inlineStr">
        <is>
          <t>Bajarilmagan</t>
        </is>
      </c>
      <c r="Q99" s="27" t="inlineStr"/>
    </row>
    <row r="100" ht="48" customHeight="1">
      <c r="A100" s="30" t="inlineStr">
        <is>
          <t>BIL-001</t>
        </is>
      </c>
      <c r="B100" s="31" t="inlineStr">
        <is>
          <t>Hisob-kitob (kassa)</t>
        </is>
      </c>
      <c r="C100" s="31" t="inlineStr">
        <is>
          <t>Kassalar</t>
        </is>
      </c>
      <c r="D100" s="32" t="inlineStr">
        <is>
          <t>Kassa yaratish</t>
        </is>
      </c>
      <c r="E100" s="33" t="inlineStr">
        <is>
          <t>P2</t>
        </is>
      </c>
      <c r="F100" s="33" t="inlineStr">
        <is>
          <t>Functional</t>
        </is>
      </c>
      <c r="G100" s="31" t="inlineStr">
        <is>
          <t>Admin panelga test akkaunti bilan kirilgan (to'liq huquqlar)</t>
        </is>
      </c>
      <c r="H100" s="31" t="inlineStr">
        <is>
          <t>1. Hisob-kitob → Kassa → «Yaratish»: ombor, mas'ul xodim, nomlar UZ/RU/EN
2. «Yaratish»</t>
        </is>
      </c>
      <c r="I100" s="31" t="inlineStr"/>
      <c r="J100" s="31" t="inlineStr">
        <is>
          <t>Kassa yaratiladi, unda hujjat ochiq</t>
        </is>
      </c>
      <c r="K100" s="31" t="inlineStr"/>
      <c r="L100" s="33" t="inlineStr">
        <is>
          <t>Ha</t>
        </is>
      </c>
      <c r="M100" s="31" t="inlineStr"/>
      <c r="N100" s="33" t="inlineStr">
        <is>
          <t>Avtomatlashtirilmagan</t>
        </is>
      </c>
      <c r="O100" s="31" t="inlineStr"/>
      <c r="P100" s="33" t="inlineStr">
        <is>
          <t>Bajarilmagan</t>
        </is>
      </c>
      <c r="Q100" s="31" t="inlineStr"/>
    </row>
    <row r="101" ht="104" customHeight="1">
      <c r="A101" s="30" t="inlineStr">
        <is>
          <t>BIL-002</t>
        </is>
      </c>
      <c r="B101" s="31" t="inlineStr">
        <is>
          <t>Hisob-kitob (kassa)</t>
        </is>
      </c>
      <c r="C101" s="31" t="inlineStr">
        <is>
          <t>Kassa hujjati</t>
        </is>
      </c>
      <c r="D101" s="32" t="inlineStr">
        <is>
          <t>Kassa hujjatining hayot sikli</t>
        </is>
      </c>
      <c r="E101" s="33" t="inlineStr">
        <is>
          <t>P1</t>
        </is>
      </c>
      <c r="F101" s="33" t="inlineStr">
        <is>
          <t>Functional</t>
        </is>
      </c>
      <c r="G101" s="31" t="inlineStr">
        <is>
          <t>Ochiq kassa hujjati</t>
        </is>
      </c>
      <c r="H101" s="31" t="inlineStr">
        <is>
          <t>1. «To'xtatish»
2. Naqd, Dollar, Click, Payme ni to'ldirish
3. «Yopish»
4. Yopilganlarni va qabul qiluvchi kassani tanlash → «Jo'natish»
5. Qabul qiluvchi bughalter summalarini kiritadi → «Qabul qilish»</t>
        </is>
      </c>
      <c r="I101" s="31" t="inlineStr"/>
      <c r="J101" s="31" t="inlineStr">
        <is>
          <t>Ochiq → To'xtatilgan → Yopilgan → Yo'lda → Qabul qilingan; yopilgach darhol yangi hujjat ochiladi; kassir farqi = Sotuvchi − Reja</t>
        </is>
      </c>
      <c r="K101" s="31" t="inlineStr">
        <is>
          <t>PRD Kassa</t>
        </is>
      </c>
      <c r="L101" s="33" t="inlineStr">
        <is>
          <t>Ha</t>
        </is>
      </c>
      <c r="M101" s="31" t="inlineStr"/>
      <c r="N101" s="33" t="inlineStr">
        <is>
          <t>Avtomatlashtirilmagan</t>
        </is>
      </c>
      <c r="O101" s="31" t="inlineStr"/>
      <c r="P101" s="33" t="inlineStr">
        <is>
          <t>Bajarilmagan</t>
        </is>
      </c>
      <c r="Q101" s="31" t="inlineStr"/>
    </row>
    <row r="102" ht="34" customHeight="1">
      <c r="A102" s="30" t="inlineStr">
        <is>
          <t>BIL-003</t>
        </is>
      </c>
      <c r="B102" s="31" t="inlineStr">
        <is>
          <t>Hisob-kitob (kassa)</t>
        </is>
      </c>
      <c r="C102" s="31" t="inlineStr">
        <is>
          <t>Kassa hujjati</t>
        </is>
      </c>
      <c r="D102" s="32" t="inlineStr">
        <is>
          <t>Sotuvchi summalarisiz yopish</t>
        </is>
      </c>
      <c r="E102" s="33" t="inlineStr">
        <is>
          <t>P2</t>
        </is>
      </c>
      <c r="F102" s="33" t="inlineStr">
        <is>
          <t>Negative</t>
        </is>
      </c>
      <c r="G102" s="31" t="inlineStr">
        <is>
          <t>Hujjat «To'xtatilgan»</t>
        </is>
      </c>
      <c r="H102" s="31" t="inlineStr">
        <is>
          <t>1. Summalarsiz «Yopish»</t>
        </is>
      </c>
      <c r="I102" s="31" t="inlineStr"/>
      <c r="J102" s="31" t="inlineStr">
        <is>
          <t>Yopish bloklanadi</t>
        </is>
      </c>
      <c r="K102" s="31" t="inlineStr"/>
      <c r="L102" s="33" t="inlineStr">
        <is>
          <t>Ha</t>
        </is>
      </c>
      <c r="M102" s="31" t="inlineStr"/>
      <c r="N102" s="33" t="inlineStr">
        <is>
          <t>Avtomatlashtirilmagan</t>
        </is>
      </c>
      <c r="O102" s="31" t="inlineStr"/>
      <c r="P102" s="33" t="inlineStr">
        <is>
          <t>Bajarilmagan</t>
        </is>
      </c>
      <c r="Q102" s="31" t="inlineStr"/>
    </row>
    <row r="103" ht="34" customHeight="1">
      <c r="A103" s="30" t="inlineStr">
        <is>
          <t>BIL-004</t>
        </is>
      </c>
      <c r="B103" s="31" t="inlineStr">
        <is>
          <t>Hisob-kitob (kassa)</t>
        </is>
      </c>
      <c r="C103" s="31" t="inlineStr">
        <is>
          <t>Kassa hujjati</t>
        </is>
      </c>
      <c r="D103" s="32" t="inlineStr">
        <is>
          <t>Hujjatdagi dollar kursi</t>
        </is>
      </c>
      <c r="E103" s="33" t="inlineStr">
        <is>
          <t>P3</t>
        </is>
      </c>
      <c r="F103" s="33" t="inlineStr">
        <is>
          <t>Functional</t>
        </is>
      </c>
      <c r="G103" s="31" t="inlineStr">
        <is>
          <t>USD kursi berilgan</t>
        </is>
      </c>
      <c r="H103" s="31" t="inlineStr">
        <is>
          <t>1. Yangi kassa hujjatini ochish</t>
        </is>
      </c>
      <c r="I103" s="31" t="inlineStr"/>
      <c r="J103" s="31" t="inlineStr">
        <is>
          <t>Hujjatda joriy kurs saqlanadi</t>
        </is>
      </c>
      <c r="K103" s="31" t="inlineStr"/>
      <c r="L103" s="33" t="inlineStr">
        <is>
          <t>Ha</t>
        </is>
      </c>
      <c r="M103" s="31" t="inlineStr"/>
      <c r="N103" s="33" t="inlineStr">
        <is>
          <t>Avtomatlashtirilmagan</t>
        </is>
      </c>
      <c r="O103" s="31" t="inlineStr"/>
      <c r="P103" s="33" t="inlineStr">
        <is>
          <t>Bajarilmagan</t>
        </is>
      </c>
      <c r="Q103" s="31" t="inlineStr"/>
    </row>
    <row r="104" ht="48" customHeight="1">
      <c r="A104" s="30" t="inlineStr">
        <is>
          <t>BIL-005</t>
        </is>
      </c>
      <c r="B104" s="31" t="inlineStr">
        <is>
          <t>Hisob-kitob (kassa)</t>
        </is>
      </c>
      <c r="C104" s="31" t="inlineStr">
        <is>
          <t>Kassa transfer</t>
        </is>
      </c>
      <c r="D104" s="32" t="inlineStr">
        <is>
          <t>Kassalar orasida o'tkazma</t>
        </is>
      </c>
      <c r="E104" s="33" t="inlineStr">
        <is>
          <t>P2</t>
        </is>
      </c>
      <c r="F104" s="33" t="inlineStr">
        <is>
          <t>Functional</t>
        </is>
      </c>
      <c r="G104" s="31" t="inlineStr">
        <is>
          <t>Admin panelga test akkaunti bilan kirilgan (to'liq huquqlar)</t>
        </is>
      </c>
      <c r="H104" s="31" t="inlineStr">
        <is>
          <t>1. Kassa transfer → «New Transfer»
2. «Send»
3. Qabul qiluvchi qabul qiladi</t>
        </is>
      </c>
      <c r="I104" s="31" t="inlineStr"/>
      <c r="J104" s="31" t="inlineStr">
        <is>
          <t>Statuslar: Jo'natilgan → Qabul qilingan; «All Statuses» filtri</t>
        </is>
      </c>
      <c r="K104" s="31" t="inlineStr"/>
      <c r="L104" s="33" t="inlineStr">
        <is>
          <t>Ha</t>
        </is>
      </c>
      <c r="M104" s="31" t="inlineStr"/>
      <c r="N104" s="33" t="inlineStr">
        <is>
          <t>Avtomatlashtirilmagan</t>
        </is>
      </c>
      <c r="O104" s="31" t="inlineStr"/>
      <c r="P104" s="33" t="inlineStr">
        <is>
          <t>Bajarilmagan</t>
        </is>
      </c>
      <c r="Q104" s="31" t="inlineStr"/>
    </row>
    <row r="105" ht="48" customHeight="1">
      <c r="A105" s="30" t="inlineStr">
        <is>
          <t>BIL-006</t>
        </is>
      </c>
      <c r="B105" s="31" t="inlineStr">
        <is>
          <t>Hisob-kitob (kassa)</t>
        </is>
      </c>
      <c r="C105" s="31" t="inlineStr">
        <is>
          <t>Balans transfer</t>
        </is>
      </c>
      <c r="D105" s="32" t="inlineStr">
        <is>
          <t>Pul o'tkazish (Balans transfer)</t>
        </is>
      </c>
      <c r="E105" s="33" t="inlineStr">
        <is>
          <t>P2</t>
        </is>
      </c>
      <c r="F105" s="33" t="inlineStr">
        <is>
          <t>Functional</t>
        </is>
      </c>
      <c r="G105" s="31" t="inlineStr">
        <is>
          <t>Admin panelga test akkaunti bilan kirilgan (to'liq huquqlar)</t>
        </is>
      </c>
      <c r="H105" s="31" t="inlineStr">
        <is>
          <t>1. Balans transfer → «Send Money»: qabul qiluvchi, summa, izoh
2. «Send»</t>
        </is>
      </c>
      <c r="I105" s="31" t="inlineStr"/>
      <c r="J105" s="31" t="inlineStr">
        <is>
          <t>Jo'natuvchi, qabul qiluvchi, tur, holat va sanalar bilan yozuv</t>
        </is>
      </c>
      <c r="K105" s="31" t="inlineStr"/>
      <c r="L105" s="33" t="inlineStr">
        <is>
          <t>Ha</t>
        </is>
      </c>
      <c r="M105" s="31" t="inlineStr"/>
      <c r="N105" s="33" t="inlineStr">
        <is>
          <t>Avtomatlashtirilmagan</t>
        </is>
      </c>
      <c r="O105" s="31" t="inlineStr"/>
      <c r="P105" s="33" t="inlineStr">
        <is>
          <t>Bajarilmagan</t>
        </is>
      </c>
      <c r="Q105" s="31" t="inlineStr"/>
    </row>
    <row r="106" ht="48" customHeight="1">
      <c r="A106" s="30" t="inlineStr">
        <is>
          <t>BIL-007</t>
        </is>
      </c>
      <c r="B106" s="31" t="inlineStr">
        <is>
          <t>Hisob-kitob (kassa)</t>
        </is>
      </c>
      <c r="C106" s="31" t="inlineStr">
        <is>
          <t>Balans transfer</t>
        </is>
      </c>
      <c r="D106" s="32" t="inlineStr">
        <is>
          <t>Nol summa bilan o'tkazma</t>
        </is>
      </c>
      <c r="E106" s="33" t="inlineStr">
        <is>
          <t>P3</t>
        </is>
      </c>
      <c r="F106" s="33" t="inlineStr">
        <is>
          <t>Negative</t>
        </is>
      </c>
      <c r="G106" s="31" t="inlineStr">
        <is>
          <t>Admin panelga test akkaunti bilan kirilgan (to'liq huquqlar)</t>
        </is>
      </c>
      <c r="H106" s="31" t="inlineStr">
        <is>
          <t>1. 0 summa bilan «Send Money»</t>
        </is>
      </c>
      <c r="I106" s="31" t="inlineStr"/>
      <c r="J106" s="31" t="inlineStr">
        <is>
          <t>Validatsiya xatosi</t>
        </is>
      </c>
      <c r="K106" s="31" t="inlineStr"/>
      <c r="L106" s="33" t="inlineStr">
        <is>
          <t>Ha</t>
        </is>
      </c>
      <c r="M106" s="31" t="inlineStr"/>
      <c r="N106" s="33" t="inlineStr">
        <is>
          <t>Avtomatlashtirilmagan</t>
        </is>
      </c>
      <c r="O106" s="31" t="inlineStr"/>
      <c r="P106" s="33" t="inlineStr">
        <is>
          <t>Bajarilmagan</t>
        </is>
      </c>
      <c r="Q106" s="31" t="inlineStr"/>
    </row>
    <row r="107" ht="76" customHeight="1">
      <c r="A107" s="26" t="inlineStr">
        <is>
          <t>USR-001</t>
        </is>
      </c>
      <c r="B107" s="27" t="inlineStr">
        <is>
          <t>Foydalanuvchilar va mijoz rollari</t>
        </is>
      </c>
      <c r="C107" s="27" t="inlineStr">
        <is>
          <t>Foydalanuvchilar</t>
        </is>
      </c>
      <c r="D107" s="28" t="inlineStr">
        <is>
          <t>Ro'yxat va filtrlar</t>
        </is>
      </c>
      <c r="E107" s="29" t="inlineStr">
        <is>
          <t>P1</t>
        </is>
      </c>
      <c r="F107" s="29" t="inlineStr">
        <is>
          <t>Functional</t>
        </is>
      </c>
      <c r="G107" s="27" t="inlineStr">
        <is>
          <t>Admin panelga test akkaunti bilan kirilgan (to'liq huquqlar)</t>
        </is>
      </c>
      <c r="H107" s="27" t="inlineStr">
        <is>
          <t>1. Foydalanuvchilar → Foydalanuvchilar
2. Filtrlar: ombor, rol, hamyon (Faol / Bloklangan / Hamyonsiz)
3. Saralash, qidiruv
4. «Yuklab olish»</t>
        </is>
      </c>
      <c r="I107" s="27" t="inlineStr"/>
      <c r="J107" s="27" t="inlineStr">
        <is>
          <t>Ustunlar: Id, ism, telefon, ombor, foydalanuvchi turi, hamyon holati, keshbek; Excel jadval bilan mos</t>
        </is>
      </c>
      <c r="K107" s="27" t="inlineStr">
        <is>
          <t>PRD User — List Sorting &amp; Wallet Filter</t>
        </is>
      </c>
      <c r="L107" s="29" t="inlineStr">
        <is>
          <t>Ha</t>
        </is>
      </c>
      <c r="M107" s="27" t="inlineStr"/>
      <c r="N107" s="29" t="inlineStr">
        <is>
          <t>Avtomatlashtirilmagan</t>
        </is>
      </c>
      <c r="O107" s="27" t="inlineStr"/>
      <c r="P107" s="29" t="inlineStr">
        <is>
          <t>Bajarilmagan</t>
        </is>
      </c>
      <c r="Q107" s="27" t="inlineStr"/>
    </row>
    <row r="108" ht="48" customHeight="1">
      <c r="A108" s="26" t="inlineStr">
        <is>
          <t>USR-002</t>
        </is>
      </c>
      <c r="B108" s="27" t="inlineStr">
        <is>
          <t>Foydalanuvchilar va mijoz rollari</t>
        </is>
      </c>
      <c r="C108" s="27" t="inlineStr">
        <is>
          <t>Foydalanuvchilar</t>
        </is>
      </c>
      <c r="D108" s="28" t="inlineStr">
        <is>
          <t>Mijoz rolini o'zgartirish</t>
        </is>
      </c>
      <c r="E108" s="29" t="inlineStr">
        <is>
          <t>P1</t>
        </is>
      </c>
      <c r="F108" s="29" t="inlineStr">
        <is>
          <t>Functional</t>
        </is>
      </c>
      <c r="G108" s="27" t="inlineStr">
        <is>
          <t>Test mijoz</t>
        </is>
      </c>
      <c r="H108" s="27" t="inlineStr">
        <is>
          <t>1. Foydalanuvchini ochish → Edit
2. Rol B2C → B2M
3. Saqlash</t>
        </is>
      </c>
      <c r="I108" s="27" t="inlineStr"/>
      <c r="J108" s="27" t="inlineStr">
        <is>
          <t>Rol saqlanadi, vitrinada narxlar darhol B2M; ochiq buyurtmalar o'zgarmaydi</t>
        </is>
      </c>
      <c r="K108" s="27" t="inlineStr">
        <is>
          <t>PRD Mijoz rollari</t>
        </is>
      </c>
      <c r="L108" s="29" t="inlineStr">
        <is>
          <t>Ha</t>
        </is>
      </c>
      <c r="M108" s="27" t="inlineStr"/>
      <c r="N108" s="29" t="inlineStr">
        <is>
          <t>Avtomatlashtirilmagan</t>
        </is>
      </c>
      <c r="O108" s="27" t="inlineStr"/>
      <c r="P108" s="29" t="inlineStr">
        <is>
          <t>Bajarilmagan</t>
        </is>
      </c>
      <c r="Q108" s="27" t="inlineStr"/>
    </row>
    <row r="109" ht="62" customHeight="1">
      <c r="A109" s="26" t="inlineStr">
        <is>
          <t>USR-003</t>
        </is>
      </c>
      <c r="B109" s="27" t="inlineStr">
        <is>
          <t>Foydalanuvchilar va mijoz rollari</t>
        </is>
      </c>
      <c r="C109" s="27" t="inlineStr">
        <is>
          <t>Mijoz rollari</t>
        </is>
      </c>
      <c r="D109" s="28" t="inlineStr">
        <is>
          <t>Mijoz rolini yaratish</t>
        </is>
      </c>
      <c r="E109" s="29" t="inlineStr">
        <is>
          <t>P1</t>
        </is>
      </c>
      <c r="F109" s="29" t="inlineStr">
        <is>
          <t>Functional</t>
        </is>
      </c>
      <c r="G109" s="27" t="inlineStr">
        <is>
          <t>Admin panelga test akkaunti bilan kirilgan (to'liq huquqlar)</t>
        </is>
      </c>
      <c r="H109" s="27" t="inlineStr">
        <is>
          <t>1. Foydalanuvchilar → Mijoz rollari → «Add role»: nomi, asosiy tur, hamyon, limit, muddat, kategoriyalar bo'yicha narx xaritasi
2. «Saqlash»</t>
        </is>
      </c>
      <c r="I109" s="27" t="inlineStr"/>
      <c r="J109" s="27" t="inlineStr">
        <is>
          <t>Rol ro'yxatda; «Ota kabi»da kategoriya ota turini oladi</t>
        </is>
      </c>
      <c r="K109" s="27" t="inlineStr"/>
      <c r="L109" s="29" t="inlineStr">
        <is>
          <t>Ha</t>
        </is>
      </c>
      <c r="M109" s="27" t="inlineStr"/>
      <c r="N109" s="29" t="inlineStr">
        <is>
          <t>Avtomatlashtirilmagan</t>
        </is>
      </c>
      <c r="O109" s="27" t="inlineStr"/>
      <c r="P109" s="29" t="inlineStr">
        <is>
          <t>Bajarilmagan</t>
        </is>
      </c>
      <c r="Q109" s="27" t="inlineStr"/>
    </row>
    <row r="110" ht="48" customHeight="1">
      <c r="A110" s="26" t="inlineStr">
        <is>
          <t>USR-004</t>
        </is>
      </c>
      <c r="B110" s="27" t="inlineStr">
        <is>
          <t>Foydalanuvchilar va mijoz rollari</t>
        </is>
      </c>
      <c r="C110" s="27" t="inlineStr">
        <is>
          <t>Mijoz rollari</t>
        </is>
      </c>
      <c r="D110" s="28" t="inlineStr">
        <is>
          <t>Rollar cheklovlari</t>
        </is>
      </c>
      <c r="E110" s="29" t="inlineStr">
        <is>
          <t>P2</t>
        </is>
      </c>
      <c r="F110" s="29" t="inlineStr">
        <is>
          <t>Negative</t>
        </is>
      </c>
      <c r="G110" s="27" t="inlineStr">
        <is>
          <t>Tizim roli va mijozli rol</t>
        </is>
      </c>
      <c r="H110" s="27" t="inlineStr">
        <is>
          <t>1. Tizim roli B2C/B2M/B2B ni o'chirish
2. Mijozli rolni o'chirish
3. Limit &gt; 600 000 000 yoki &gt; 25 kun</t>
        </is>
      </c>
      <c r="I110" s="27" t="inlineStr"/>
      <c r="J110" s="27" t="inlineStr">
        <is>
          <t>Tizim roli va mijozli rol o'chirilmaydi (sabab ko'rinadi); tizim chegarasidan yuqori limit — xato</t>
        </is>
      </c>
      <c r="K110" s="27" t="inlineStr"/>
      <c r="L110" s="29" t="inlineStr">
        <is>
          <t>Ha</t>
        </is>
      </c>
      <c r="M110" s="27" t="inlineStr"/>
      <c r="N110" s="29" t="inlineStr">
        <is>
          <t>Avtomatlashtirilmagan</t>
        </is>
      </c>
      <c r="O110" s="27" t="inlineStr"/>
      <c r="P110" s="29" t="inlineStr">
        <is>
          <t>Bajarilmagan</t>
        </is>
      </c>
      <c r="Q110" s="27" t="inlineStr"/>
    </row>
    <row r="111" ht="34" customHeight="1">
      <c r="A111" s="26" t="inlineStr">
        <is>
          <t>USR-005</t>
        </is>
      </c>
      <c r="B111" s="27" t="inlineStr">
        <is>
          <t>Foydalanuvchilar va mijoz rollari</t>
        </is>
      </c>
      <c r="C111" s="27" t="inlineStr">
        <is>
          <t>Mijoz rollari</t>
        </is>
      </c>
      <c r="D111" s="28" t="inlineStr">
        <is>
          <t>Mijozli rolni o'zgartirish tasdiq talab qiladi</t>
        </is>
      </c>
      <c r="E111" s="29" t="inlineStr">
        <is>
          <t>P2</t>
        </is>
      </c>
      <c r="F111" s="29" t="inlineStr">
        <is>
          <t>Functional</t>
        </is>
      </c>
      <c r="G111" s="27" t="inlineStr">
        <is>
          <t>N ta mijozli rol</t>
        </is>
      </c>
      <c r="H111" s="27" t="inlineStr">
        <is>
          <t>1. Narx xaritasini o'zgartirish
2. «Saqlash»</t>
        </is>
      </c>
      <c r="I111" s="27" t="inlineStr"/>
      <c r="J111" s="27" t="inlineStr">
        <is>
          <t>Oyna: nechta mijozga ta'sir qiladi, darhol kuchga kiradi, ochiq buyurtmalar o'zgarmaydi</t>
        </is>
      </c>
      <c r="K111" s="27" t="inlineStr"/>
      <c r="L111" s="29" t="inlineStr">
        <is>
          <t>Ha</t>
        </is>
      </c>
      <c r="M111" s="27" t="inlineStr"/>
      <c r="N111" s="29" t="inlineStr">
        <is>
          <t>Avtomatlashtirilmagan</t>
        </is>
      </c>
      <c r="O111" s="27" t="inlineStr"/>
      <c r="P111" s="29" t="inlineStr">
        <is>
          <t>Bajarilmagan</t>
        </is>
      </c>
      <c r="Q111" s="27" t="inlineStr"/>
    </row>
    <row r="112" ht="48" customHeight="1">
      <c r="A112" s="26" t="inlineStr">
        <is>
          <t>USR-006</t>
        </is>
      </c>
      <c r="B112" s="27" t="inlineStr">
        <is>
          <t>Foydalanuvchilar va mijoz rollari</t>
        </is>
      </c>
      <c r="C112" s="27" t="inlineStr">
        <is>
          <t>Sotuvchi &amp; Mijoz</t>
        </is>
      </c>
      <c r="D112" s="28" t="inlineStr">
        <is>
          <t>Mijozlarni sotuvchiga biriktirish</t>
        </is>
      </c>
      <c r="E112" s="29" t="inlineStr">
        <is>
          <t>P2</t>
        </is>
      </c>
      <c r="F112" s="29" t="inlineStr">
        <is>
          <t>Functional</t>
        </is>
      </c>
      <c r="G112" s="27" t="inlineStr">
        <is>
          <t>Admin panelga test akkaunti bilan kirilgan (to'liq huquqlar)</t>
        </is>
      </c>
      <c r="H112" s="27" t="inlineStr">
        <is>
          <t>1. Sotuvchi &amp; Mijoz → «Yaratish»: sotuvchi, mijozlar, kunlar</t>
        </is>
      </c>
      <c r="I112" s="27" t="inlineStr"/>
      <c r="J112" s="27" t="inlineStr">
        <is>
          <t>Biriktirish saqlanadi; sotuvchi/mijoz/kunsiz — xatolar; ombor ichidagi ziddiyat tasdiq bilan</t>
        </is>
      </c>
      <c r="K112" s="27" t="inlineStr">
        <is>
          <t>PRD Assigning Customers to Employees</t>
        </is>
      </c>
      <c r="L112" s="29" t="inlineStr">
        <is>
          <t>Ha</t>
        </is>
      </c>
      <c r="M112" s="27" t="inlineStr"/>
      <c r="N112" s="29" t="inlineStr">
        <is>
          <t>Avtomatlashtirilmagan</t>
        </is>
      </c>
      <c r="O112" s="27" t="inlineStr"/>
      <c r="P112" s="29" t="inlineStr">
        <is>
          <t>Bajarilmagan</t>
        </is>
      </c>
      <c r="Q112" s="27" t="inlineStr"/>
    </row>
    <row r="113" ht="34" customHeight="1">
      <c r="A113" s="26" t="inlineStr">
        <is>
          <t>USR-007</t>
        </is>
      </c>
      <c r="B113" s="27" t="inlineStr">
        <is>
          <t>Foydalanuvchilar va mijoz rollari</t>
        </is>
      </c>
      <c r="C113" s="27" t="inlineStr">
        <is>
          <t>So'rovlar</t>
        </is>
      </c>
      <c r="D113" s="28" t="inlineStr">
        <is>
          <t>«Usta» arizasini tasdiqlash</t>
        </is>
      </c>
      <c r="E113" s="29" t="inlineStr">
        <is>
          <t>P1</t>
        </is>
      </c>
      <c r="F113" s="29" t="inlineStr">
        <is>
          <t>Integration</t>
        </is>
      </c>
      <c r="G113" s="27" t="inlineStr">
        <is>
          <t>Mijoz ariza bergan</t>
        </is>
      </c>
      <c r="H113" s="27" t="inlineStr">
        <is>
          <t>1. Foydalanuvchilar → Foydalanuvchilar so'rovlari
2. Tasdiqlash, B2M rolini tanlash</t>
        </is>
      </c>
      <c r="I113" s="27" t="inlineStr"/>
      <c r="J113" s="27" t="inlineStr">
        <is>
          <t>Holat va javob sanasi; mijoz roli B2M; vitrinada «Usta» va B2M narxlari</t>
        </is>
      </c>
      <c r="K113" s="27" t="inlineStr"/>
      <c r="L113" s="29" t="inlineStr">
        <is>
          <t>Ha</t>
        </is>
      </c>
      <c r="M113" s="27" t="inlineStr"/>
      <c r="N113" s="29" t="inlineStr">
        <is>
          <t>Avtomatlashtirilmagan</t>
        </is>
      </c>
      <c r="O113" s="27" t="inlineStr"/>
      <c r="P113" s="29" t="inlineStr">
        <is>
          <t>Bajarilmagan</t>
        </is>
      </c>
      <c r="Q113" s="27" t="inlineStr"/>
    </row>
    <row r="114" ht="34" customHeight="1">
      <c r="A114" s="26" t="inlineStr">
        <is>
          <t>USR-008</t>
        </is>
      </c>
      <c r="B114" s="27" t="inlineStr">
        <is>
          <t>Foydalanuvchilar va mijoz rollari</t>
        </is>
      </c>
      <c r="C114" s="27" t="inlineStr">
        <is>
          <t>So'rovlar</t>
        </is>
      </c>
      <c r="D114" s="28" t="inlineStr">
        <is>
          <t>Arizani rad etish</t>
        </is>
      </c>
      <c r="E114" s="29" t="inlineStr">
        <is>
          <t>P3</t>
        </is>
      </c>
      <c r="F114" s="29" t="inlineStr">
        <is>
          <t>Functional</t>
        </is>
      </c>
      <c r="G114" s="27" t="inlineStr">
        <is>
          <t>Ariza bor</t>
        </is>
      </c>
      <c r="H114" s="27" t="inlineStr">
        <is>
          <t>1. Rad etish</t>
        </is>
      </c>
      <c r="I114" s="27" t="inlineStr"/>
      <c r="J114" s="27" t="inlineStr">
        <is>
          <t>Holat «Rad etilgan», rol o'zgarmagan</t>
        </is>
      </c>
      <c r="K114" s="27" t="inlineStr"/>
      <c r="L114" s="29" t="inlineStr">
        <is>
          <t>Ha</t>
        </is>
      </c>
      <c r="M114" s="27" t="inlineStr"/>
      <c r="N114" s="29" t="inlineStr">
        <is>
          <t>Avtomatlashtirilmagan</t>
        </is>
      </c>
      <c r="O114" s="27" t="inlineStr"/>
      <c r="P114" s="29" t="inlineStr">
        <is>
          <t>Bajarilmagan</t>
        </is>
      </c>
      <c r="Q114" s="27" t="inlineStr"/>
    </row>
    <row r="115" ht="48" customHeight="1">
      <c r="A115" s="30" t="inlineStr">
        <is>
          <t>REQ-001</t>
        </is>
      </c>
      <c r="B115" s="31" t="inlineStr">
        <is>
          <t>Mijoz so'rovlari</t>
        </is>
      </c>
      <c r="C115" s="31" t="inlineStr">
        <is>
          <t>Bo'lsa olar edim</t>
        </is>
      </c>
      <c r="D115" s="32" t="inlineStr">
        <is>
          <t>«Bo'lsa olar edim» ro'yxati va filtrlari</t>
        </is>
      </c>
      <c r="E115" s="33" t="inlineStr">
        <is>
          <t>P2</t>
        </is>
      </c>
      <c r="F115" s="33" t="inlineStr">
        <is>
          <t>Functional</t>
        </is>
      </c>
      <c r="G115" s="31" t="inlineStr">
        <is>
          <t>Admin panelga test akkaunti bilan kirilgan (to'liq huquqlar)</t>
        </is>
      </c>
      <c r="H115" s="31" t="inlineStr">
        <is>
          <t>1. So'rovlar → Bo'lsa olar edim
2. Filtrlar: sana, holat, ombor
3. «Yuklab olish»</t>
        </is>
      </c>
      <c r="I115" s="31" t="inlineStr"/>
      <c r="J115" s="31" t="inlineStr">
        <is>
          <t>Ustunlar: ID, mijoz, mahsulot, miqdor, filial, holat, tavsif, yopilgan sana, ijrochi, yopilishgacha kunlar</t>
        </is>
      </c>
      <c r="K115" s="31" t="inlineStr"/>
      <c r="L115" s="33" t="inlineStr">
        <is>
          <t>Ha</t>
        </is>
      </c>
      <c r="M115" s="31" t="inlineStr"/>
      <c r="N115" s="33" t="inlineStr">
        <is>
          <t>Avtomatlashtirilmagan</t>
        </is>
      </c>
      <c r="O115" s="31" t="inlineStr"/>
      <c r="P115" s="33" t="inlineStr">
        <is>
          <t>Bajarilmagan</t>
        </is>
      </c>
      <c r="Q115" s="31" t="inlineStr"/>
    </row>
    <row r="116" ht="34" customHeight="1">
      <c r="A116" s="30" t="inlineStr">
        <is>
          <t>REQ-002</t>
        </is>
      </c>
      <c r="B116" s="31" t="inlineStr">
        <is>
          <t>Mijoz so'rovlari</t>
        </is>
      </c>
      <c r="C116" s="31" t="inlineStr">
        <is>
          <t>Bo'lsa olar edim</t>
        </is>
      </c>
      <c r="D116" s="32" t="inlineStr">
        <is>
          <t>Izoh bilan qo'lda yopish</t>
        </is>
      </c>
      <c r="E116" s="33" t="inlineStr">
        <is>
          <t>P2</t>
        </is>
      </c>
      <c r="F116" s="33" t="inlineStr">
        <is>
          <t>Functional</t>
        </is>
      </c>
      <c r="G116" s="31" t="inlineStr">
        <is>
          <t>«Yangi» so'rovlar</t>
        </is>
      </c>
      <c r="H116" s="31" t="inlineStr">
        <is>
          <t>1. Bitta yoki bir nechtasini tanlash
2. Yopish</t>
        </is>
      </c>
      <c r="I116" s="31" t="inlineStr"/>
      <c r="J116" s="31" t="inlineStr">
        <is>
          <t>Izoh majburiy; holat «Tugallangan», qayta ochilmaydi va tanlanmaydi</t>
        </is>
      </c>
      <c r="K116" s="31" t="inlineStr">
        <is>
          <t>PRD Bo'lsa olar edim (WBA-5, WBA-12)</t>
        </is>
      </c>
      <c r="L116" s="33" t="inlineStr">
        <is>
          <t>Ha</t>
        </is>
      </c>
      <c r="M116" s="31" t="inlineStr"/>
      <c r="N116" s="33" t="inlineStr">
        <is>
          <t>Avtomatlashtirilmagan</t>
        </is>
      </c>
      <c r="O116" s="31" t="inlineStr"/>
      <c r="P116" s="33" t="inlineStr">
        <is>
          <t>Bajarilmagan</t>
        </is>
      </c>
      <c r="Q116" s="31" t="inlineStr"/>
    </row>
    <row r="117" ht="34" customHeight="1">
      <c r="A117" s="30" t="inlineStr">
        <is>
          <t>REQ-003</t>
        </is>
      </c>
      <c r="B117" s="31" t="inlineStr">
        <is>
          <t>Mijoz so'rovlari</t>
        </is>
      </c>
      <c r="C117" s="31" t="inlineStr">
        <is>
          <t>Shikoyatlar</t>
        </is>
      </c>
      <c r="D117" s="32" t="inlineStr">
        <is>
          <t>Shikoyatlar va takliflar</t>
        </is>
      </c>
      <c r="E117" s="33" t="inlineStr">
        <is>
          <t>P3</t>
        </is>
      </c>
      <c r="F117" s="33" t="inlineStr">
        <is>
          <t>Functional</t>
        </is>
      </c>
      <c r="G117" s="31" t="inlineStr">
        <is>
          <t>Mijoz fikr yuborgan</t>
        </is>
      </c>
      <c r="H117" s="31" t="inlineStr">
        <is>
          <t>1. So'rovlar → Shikoyatlar va takliflar
2. Filtr, holatni o'zgartirish</t>
        </is>
      </c>
      <c r="I117" s="31" t="inlineStr"/>
      <c r="J117" s="31" t="inlineStr">
        <is>
          <t>Fikr ro'yxatda, holat o'zgaradi</t>
        </is>
      </c>
      <c r="K117" s="31" t="inlineStr"/>
      <c r="L117" s="33" t="inlineStr">
        <is>
          <t>Ha</t>
        </is>
      </c>
      <c r="M117" s="31" t="inlineStr"/>
      <c r="N117" s="33" t="inlineStr">
        <is>
          <t>Avtomatlashtirilmagan</t>
        </is>
      </c>
      <c r="O117" s="31" t="inlineStr"/>
      <c r="P117" s="33" t="inlineStr">
        <is>
          <t>Bajarilmagan</t>
        </is>
      </c>
      <c r="Q117" s="31" t="inlineStr"/>
    </row>
    <row r="118" ht="34" customHeight="1">
      <c r="A118" s="30" t="inlineStr">
        <is>
          <t>REQ-004</t>
        </is>
      </c>
      <c r="B118" s="31" t="inlineStr">
        <is>
          <t>Mijoz so'rovlari</t>
        </is>
      </c>
      <c r="C118" s="31" t="inlineStr">
        <is>
          <t>Arzonini topdingizmi</t>
        </is>
      </c>
      <c r="D118" s="32" t="inlineStr">
        <is>
          <t>«Arzonini topdingizmi?» arizalari</t>
        </is>
      </c>
      <c r="E118" s="33" t="inlineStr">
        <is>
          <t>P2</t>
        </is>
      </c>
      <c r="F118" s="33" t="inlineStr">
        <is>
          <t>Integration</t>
        </is>
      </c>
      <c r="G118" s="31" t="inlineStr">
        <is>
          <t>Mijoz «Arzonini topdingizmi?» formasini yuborgan</t>
        </is>
      </c>
      <c r="H118" s="31" t="inlineStr">
        <is>
          <t>1. So'rovlar → Arzonini topdingizmi?</t>
        </is>
      </c>
      <c r="I118" s="31" t="inlineStr"/>
      <c r="J118" s="31" t="inlineStr">
        <is>
          <t>Ism, telefon, tavsif bilan ariza; «Arzonini topdingizmi» chati yaratilgan</t>
        </is>
      </c>
      <c r="K118" s="31" t="inlineStr"/>
      <c r="L118" s="33" t="inlineStr">
        <is>
          <t>Ha</t>
        </is>
      </c>
      <c r="M118" s="31" t="inlineStr"/>
      <c r="N118" s="33" t="inlineStr">
        <is>
          <t>Avtomatlashtirilmagan</t>
        </is>
      </c>
      <c r="O118" s="31" t="inlineStr"/>
      <c r="P118" s="33" t="inlineStr">
        <is>
          <t>Bajarilmagan</t>
        </is>
      </c>
      <c r="Q118" s="31" t="inlineStr"/>
    </row>
    <row r="119" ht="48" customHeight="1">
      <c r="A119" s="26" t="inlineStr">
        <is>
          <t>WH-001</t>
        </is>
      </c>
      <c r="B119" s="27" t="inlineStr">
        <is>
          <t>Omborlar</t>
        </is>
      </c>
      <c r="C119" s="27" t="inlineStr">
        <is>
          <t>Omborlar</t>
        </is>
      </c>
      <c r="D119" s="28" t="inlineStr">
        <is>
          <t>Omborlar ro'yxati va ombor yaratish</t>
        </is>
      </c>
      <c r="E119" s="29" t="inlineStr">
        <is>
          <t>P2</t>
        </is>
      </c>
      <c r="F119" s="29" t="inlineStr">
        <is>
          <t>Functional</t>
        </is>
      </c>
      <c r="G119" s="27" t="inlineStr">
        <is>
          <t>Admin panelga test akkaunti bilan kirilgan (to'liq huquqlar)</t>
        </is>
      </c>
      <c r="H119" s="27" t="inlineStr">
        <is>
          <t>1. Ombor → Omborlar → «Yaratish»: nomlar, manzil, telefon, viloyat, tuman, ota ombor, koordinatalar, Active, Office</t>
        </is>
      </c>
      <c r="I119" s="27" t="inlineStr"/>
      <c r="J119" s="27" t="inlineStr">
        <is>
          <t>Ombor yaratiladi; ro'yxatda holati</t>
        </is>
      </c>
      <c r="K119" s="27" t="inlineStr"/>
      <c r="L119" s="29" t="inlineStr">
        <is>
          <t>Ha</t>
        </is>
      </c>
      <c r="M119" s="27" t="inlineStr"/>
      <c r="N119" s="29" t="inlineStr">
        <is>
          <t>Avtomatlashtirilmagan</t>
        </is>
      </c>
      <c r="O119" s="27" t="inlineStr"/>
      <c r="P119" s="29" t="inlineStr">
        <is>
          <t>Bajarilmagan</t>
        </is>
      </c>
      <c r="Q119" s="27" t="inlineStr"/>
    </row>
    <row r="120" ht="34" customHeight="1">
      <c r="A120" s="26" t="inlineStr">
        <is>
          <t>WH-002</t>
        </is>
      </c>
      <c r="B120" s="27" t="inlineStr">
        <is>
          <t>Omborlar</t>
        </is>
      </c>
      <c r="C120" s="27" t="inlineStr">
        <is>
          <t>Omborlar</t>
        </is>
      </c>
      <c r="D120" s="28" t="inlineStr">
        <is>
          <t>Omborni to'xtatish va yopish</t>
        </is>
      </c>
      <c r="E120" s="29" t="inlineStr">
        <is>
          <t>P2</t>
        </is>
      </c>
      <c r="F120" s="29" t="inlineStr">
        <is>
          <t>Functional</t>
        </is>
      </c>
      <c r="G120" s="27" t="inlineStr">
        <is>
          <t>Test ombor</t>
        </is>
      </c>
      <c r="H120" s="27" t="inlineStr">
        <is>
          <t>1. Sabab bilan to'xtatish
2. Qayta ishga tushirish</t>
        </is>
      </c>
      <c r="I120" s="27" t="inlineStr"/>
      <c r="J120" s="27" t="inlineStr">
        <is>
          <t>Sabab va muallif tarixda; ombor avto o'tkazmadan chiqariladi</t>
        </is>
      </c>
      <c r="K120" s="27" t="inlineStr">
        <is>
          <t>PRD Warehouse list</t>
        </is>
      </c>
      <c r="L120" s="29" t="inlineStr">
        <is>
          <t>Qisman</t>
        </is>
      </c>
      <c r="M120" s="27" t="inlineStr">
        <is>
          <t>Faqat test omborda</t>
        </is>
      </c>
      <c r="N120" s="29" t="inlineStr">
        <is>
          <t>Avtomatlashtirilmagan</t>
        </is>
      </c>
      <c r="O120" s="27" t="inlineStr"/>
      <c r="P120" s="29" t="inlineStr">
        <is>
          <t>Bajarilmagan</t>
        </is>
      </c>
      <c r="Q120" s="27" t="inlineStr"/>
    </row>
    <row r="121" ht="48" customHeight="1">
      <c r="A121" s="26" t="inlineStr">
        <is>
          <t>WH-003</t>
        </is>
      </c>
      <c r="B121" s="27" t="inlineStr">
        <is>
          <t>Omborlar</t>
        </is>
      </c>
      <c r="C121" s="27" t="inlineStr">
        <is>
          <t>Tartib</t>
        </is>
      </c>
      <c r="D121" s="28" t="inlineStr">
        <is>
          <t>Buyurtma uchun omborlar tartibi</t>
        </is>
      </c>
      <c r="E121" s="29" t="inlineStr">
        <is>
          <t>P3</t>
        </is>
      </c>
      <c r="F121" s="29" t="inlineStr">
        <is>
          <t>Functional</t>
        </is>
      </c>
      <c r="G121" s="27" t="inlineStr">
        <is>
          <t>Admin panelga test akkaunti bilan kirilgan (to'liq huquqlar)</t>
        </is>
      </c>
      <c r="H121" s="27" t="inlineStr">
        <is>
          <t>1. Omborlar tartibi — ustuvorlikni o'zgartirish</t>
        </is>
      </c>
      <c r="I121" s="27" t="inlineStr"/>
      <c r="J121" s="27" t="inlineStr">
        <is>
          <t>Ustuvorlik saqlanadi va savatdagi yetkazib beruvchi omborga ta'sir qiladi</t>
        </is>
      </c>
      <c r="K121" s="27" t="inlineStr"/>
      <c r="L121" s="29" t="inlineStr">
        <is>
          <t>Qisman</t>
        </is>
      </c>
      <c r="M121" s="27" t="inlineStr"/>
      <c r="N121" s="29" t="inlineStr">
        <is>
          <t>Avtomatlashtirilmagan</t>
        </is>
      </c>
      <c r="O121" s="27" t="inlineStr"/>
      <c r="P121" s="29" t="inlineStr">
        <is>
          <t>Bajarilmagan</t>
        </is>
      </c>
      <c r="Q121" s="27" t="inlineStr"/>
    </row>
    <row r="122" ht="48" customHeight="1">
      <c r="A122" s="26" t="inlineStr">
        <is>
          <t>WH-004</t>
        </is>
      </c>
      <c r="B122" s="27" t="inlineStr">
        <is>
          <t>Omborlar</t>
        </is>
      </c>
      <c r="C122" s="27" t="inlineStr">
        <is>
          <t>Xodimlar</t>
        </is>
      </c>
      <c r="D122" s="28" t="inlineStr">
        <is>
          <t>Ombor ishchilari</t>
        </is>
      </c>
      <c r="E122" s="29" t="inlineStr">
        <is>
          <t>P2</t>
        </is>
      </c>
      <c r="F122" s="29" t="inlineStr">
        <is>
          <t>Functional</t>
        </is>
      </c>
      <c r="G122" s="27" t="inlineStr">
        <is>
          <t>Admin panelga test akkaunti bilan kirilgan (to'liq huquqlar)</t>
        </is>
      </c>
      <c r="H122" s="27" t="inlineStr">
        <is>
          <t>1. Ombor ishchilari → «Yaratish»: xodim, ombor, rol
2. Ombor bo'yicha filtr</t>
        </is>
      </c>
      <c r="I122" s="27" t="inlineStr"/>
      <c r="J122" s="27" t="inlineStr">
        <is>
          <t>Xodim biriktiriladi; ruxsat shu ombor bilan cheklanadi</t>
        </is>
      </c>
      <c r="K122" s="27" t="inlineStr"/>
      <c r="L122" s="29" t="inlineStr">
        <is>
          <t>Ha</t>
        </is>
      </c>
      <c r="M122" s="27" t="inlineStr"/>
      <c r="N122" s="29" t="inlineStr">
        <is>
          <t>Avtomatlashtirilmagan</t>
        </is>
      </c>
      <c r="O122" s="27" t="inlineStr"/>
      <c r="P122" s="29" t="inlineStr">
        <is>
          <t>Bajarilmagan</t>
        </is>
      </c>
      <c r="Q122" s="27" t="inlineStr"/>
    </row>
    <row r="123" ht="48" customHeight="1">
      <c r="A123" s="26" t="inlineStr">
        <is>
          <t>WH-005</t>
        </is>
      </c>
      <c r="B123" s="27" t="inlineStr">
        <is>
          <t>Omborlar</t>
        </is>
      </c>
      <c r="C123" s="27" t="inlineStr">
        <is>
          <t>Avto o'tkazma</t>
        </is>
      </c>
      <c r="D123" s="28" t="inlineStr">
        <is>
          <t>Avto o'tkazma guruhini yaratish</t>
        </is>
      </c>
      <c r="E123" s="29" t="inlineStr">
        <is>
          <t>P2</t>
        </is>
      </c>
      <c r="F123" s="29" t="inlineStr">
        <is>
          <t>Functional</t>
        </is>
      </c>
      <c r="G123" s="27" t="inlineStr">
        <is>
          <t>Admin panelga test akkaunti bilan kirilgan (to'liq huquqlar)</t>
        </is>
      </c>
      <c r="H123" s="27" t="inlineStr">
        <is>
          <t>1. Avto o'tkazma → «Yaratish»: nomi, turi (Frozen / Restock / Zakas cycle), Active, sikl, vaqt, omborlar</t>
        </is>
      </c>
      <c r="I123" s="27" t="inlineStr"/>
      <c r="J123" s="27" t="inlineStr">
        <is>
          <t>Guruh yaratiladi; keyingi ishga tushish vaqti ko'rinadi</t>
        </is>
      </c>
      <c r="K123" s="27" t="inlineStr"/>
      <c r="L123" s="29" t="inlineStr">
        <is>
          <t>Ha</t>
        </is>
      </c>
      <c r="M123" s="27" t="inlineStr"/>
      <c r="N123" s="29" t="inlineStr">
        <is>
          <t>Avtomatlashtirilmagan</t>
        </is>
      </c>
      <c r="O123" s="27" t="inlineStr"/>
      <c r="P123" s="29" t="inlineStr">
        <is>
          <t>Bajarilmagan</t>
        </is>
      </c>
      <c r="Q123" s="27" t="inlineStr"/>
    </row>
    <row r="124" ht="34" customHeight="1">
      <c r="A124" s="26" t="inlineStr">
        <is>
          <t>WH-006</t>
        </is>
      </c>
      <c r="B124" s="27" t="inlineStr">
        <is>
          <t>Omborlar</t>
        </is>
      </c>
      <c r="C124" s="27" t="inlineStr">
        <is>
          <t>Avto o'tkazma</t>
        </is>
      </c>
      <c r="D124" s="28" t="inlineStr">
        <is>
          <t>Ishga tushish faqat so'rov yaratadi</t>
        </is>
      </c>
      <c r="E124" s="29" t="inlineStr">
        <is>
          <t>P2</t>
        </is>
      </c>
      <c r="F124" s="29" t="inlineStr">
        <is>
          <t>Integration</t>
        </is>
      </c>
      <c r="G124" s="27" t="inlineStr">
        <is>
          <t>Faol guruh</t>
        </is>
      </c>
      <c r="H124" s="27" t="inlineStr">
        <is>
          <t>1. Ishga tushishni kutish / Run history</t>
        </is>
      </c>
      <c r="I124" s="27" t="inlineStr"/>
      <c r="J124" s="27" t="inlineStr">
        <is>
          <t>«So'rov» turidagi o'tkazmalar yaratiladi; to'xtatilgan omborlar o'tkazib yuboriladi</t>
        </is>
      </c>
      <c r="K124" s="27" t="inlineStr">
        <is>
          <t>PRD Avto o'tkazma</t>
        </is>
      </c>
      <c r="L124" s="29" t="inlineStr">
        <is>
          <t>Qisman</t>
        </is>
      </c>
      <c r="M124" s="27" t="inlineStr"/>
      <c r="N124" s="29" t="inlineStr">
        <is>
          <t>Avtomatlashtirilmagan</t>
        </is>
      </c>
      <c r="O124" s="27" t="inlineStr"/>
      <c r="P124" s="29" t="inlineStr">
        <is>
          <t>Bajarilmagan</t>
        </is>
      </c>
      <c r="Q124" s="27" t="inlineStr"/>
    </row>
    <row r="125" ht="48" customHeight="1">
      <c r="A125" s="26" t="inlineStr">
        <is>
          <t>WH-007</t>
        </is>
      </c>
      <c r="B125" s="27" t="inlineStr">
        <is>
          <t>Omborlar</t>
        </is>
      </c>
      <c r="C125" s="27" t="inlineStr">
        <is>
          <t>Reyting</t>
        </is>
      </c>
      <c r="D125" s="28" t="inlineStr">
        <is>
          <t>Omborlar reytingi</t>
        </is>
      </c>
      <c r="E125" s="29" t="inlineStr">
        <is>
          <t>P3</t>
        </is>
      </c>
      <c r="F125" s="29" t="inlineStr">
        <is>
          <t>Functional</t>
        </is>
      </c>
      <c r="G125" s="27" t="inlineStr">
        <is>
          <t>Admin panelga test akkaunti bilan kirilgan (to'liq huquqlar)</t>
        </is>
      </c>
      <c r="H125" s="27" t="inlineStr">
        <is>
          <t>1. Omborxona reytingi: filtr, «Yuklab olish»</t>
        </is>
      </c>
      <c r="I125" s="27" t="inlineStr"/>
      <c r="J125" s="27" t="inlineStr">
        <is>
          <t>O'rtacha baho, baholangan buyurtmalar soni, taqsimot</t>
        </is>
      </c>
      <c r="K125" s="27" t="inlineStr"/>
      <c r="L125" s="29" t="inlineStr">
        <is>
          <t>Ha</t>
        </is>
      </c>
      <c r="M125" s="27" t="inlineStr"/>
      <c r="N125" s="29" t="inlineStr">
        <is>
          <t>Avtomatlashtirilmagan</t>
        </is>
      </c>
      <c r="O125" s="27" t="inlineStr"/>
      <c r="P125" s="29" t="inlineStr">
        <is>
          <t>Bajarilmagan</t>
        </is>
      </c>
      <c r="Q125" s="27" t="inlineStr"/>
    </row>
    <row r="126" ht="48" customHeight="1">
      <c r="A126" s="30" t="inlineStr">
        <is>
          <t>CUR-001</t>
        </is>
      </c>
      <c r="B126" s="31" t="inlineStr">
        <is>
          <t>Valyuta</t>
        </is>
      </c>
      <c r="C126" s="31" t="inlineStr">
        <is>
          <t>Kurslar</t>
        </is>
      </c>
      <c r="D126" s="32" t="inlineStr">
        <is>
          <t>Valyuta kursini yaratish</t>
        </is>
      </c>
      <c r="E126" s="33" t="inlineStr">
        <is>
          <t>P2</t>
        </is>
      </c>
      <c r="F126" s="33" t="inlineStr">
        <is>
          <t>Functional</t>
        </is>
      </c>
      <c r="G126" s="31" t="inlineStr">
        <is>
          <t>Admin panelga test akkaunti bilan kirilgan (to'liq huquqlar)</t>
        </is>
      </c>
      <c r="H126" s="31" t="inlineStr">
        <is>
          <t>1. Valyuta kursi → «Create rate»: asosiy, maqsad valyuta, kurs
2. «Confirm»</t>
        </is>
      </c>
      <c r="I126" s="31" t="inlineStr"/>
      <c r="J126" s="31" t="inlineStr">
        <is>
          <t>Kurs ro'yxatda; kirim va kassada ishlatiladi; vitrinadagi $ narx qayta hisoblanadi</t>
        </is>
      </c>
      <c r="K126" s="31" t="inlineStr"/>
      <c r="L126" s="33" t="inlineStr">
        <is>
          <t>Ha</t>
        </is>
      </c>
      <c r="M126" s="31" t="inlineStr"/>
      <c r="N126" s="33" t="inlineStr">
        <is>
          <t>Avtomatlashtirilmagan</t>
        </is>
      </c>
      <c r="O126" s="31" t="inlineStr"/>
      <c r="P126" s="33" t="inlineStr">
        <is>
          <t>Bajarilmagan</t>
        </is>
      </c>
      <c r="Q126" s="31" t="inlineStr"/>
    </row>
    <row r="127" ht="48" customHeight="1">
      <c r="A127" s="30" t="inlineStr">
        <is>
          <t>CUR-002</t>
        </is>
      </c>
      <c r="B127" s="31" t="inlineStr">
        <is>
          <t>Valyuta</t>
        </is>
      </c>
      <c r="C127" s="31" t="inlineStr">
        <is>
          <t>Kurslar</t>
        </is>
      </c>
      <c r="D127" s="32" t="inlineStr">
        <is>
          <t>Noto'g'ri kurs</t>
        </is>
      </c>
      <c r="E127" s="33" t="inlineStr">
        <is>
          <t>P3</t>
        </is>
      </c>
      <c r="F127" s="33" t="inlineStr">
        <is>
          <t>Negative</t>
        </is>
      </c>
      <c r="G127" s="31" t="inlineStr">
        <is>
          <t>Admin panelga test akkaunti bilan kirilgan (to'liq huquqlar)</t>
        </is>
      </c>
      <c r="H127" s="31" t="inlineStr">
        <is>
          <t>1. Kurs 0 / manfiy / valyutasiz</t>
        </is>
      </c>
      <c r="I127" s="31" t="inlineStr"/>
      <c r="J127" s="31" t="inlineStr">
        <is>
          <t>Validatsiya xatosi</t>
        </is>
      </c>
      <c r="K127" s="31" t="inlineStr"/>
      <c r="L127" s="33" t="inlineStr">
        <is>
          <t>Ha</t>
        </is>
      </c>
      <c r="M127" s="31" t="inlineStr"/>
      <c r="N127" s="33" t="inlineStr">
        <is>
          <t>Avtomatlashtirilmagan</t>
        </is>
      </c>
      <c r="O127" s="31" t="inlineStr"/>
      <c r="P127" s="33" t="inlineStr">
        <is>
          <t>Bajarilmagan</t>
        </is>
      </c>
      <c r="Q127" s="31" t="inlineStr"/>
    </row>
    <row r="128" ht="48" customHeight="1">
      <c r="A128" s="26" t="inlineStr">
        <is>
          <t>BAN-001</t>
        </is>
      </c>
      <c r="B128" s="27" t="inlineStr">
        <is>
          <t>Bannerlar</t>
        </is>
      </c>
      <c r="C128" s="27" t="inlineStr">
        <is>
          <t>Bannerlar</t>
        </is>
      </c>
      <c r="D128" s="28" t="inlineStr">
        <is>
          <t>Banner yaratish</t>
        </is>
      </c>
      <c r="E128" s="29" t="inlineStr">
        <is>
          <t>P2</t>
        </is>
      </c>
      <c r="F128" s="29" t="inlineStr">
        <is>
          <t>Functional</t>
        </is>
      </c>
      <c r="G128" s="27" t="inlineStr">
        <is>
          <t>Admin panelga test akkaunti bilan kirilgan (to'liq huquqlar)</t>
        </is>
      </c>
      <c r="H128" s="27" t="inlineStr">
        <is>
          <t>1. Bannerlar → yaratish: rasm, tur, tavsif, omborlar</t>
        </is>
      </c>
      <c r="I128" s="27" t="inlineStr"/>
      <c r="J128" s="27" t="inlineStr">
        <is>
          <t>Banner ro'yxatda va shu omborlar uchun vitrina slayderida</t>
        </is>
      </c>
      <c r="K128" s="27" t="inlineStr"/>
      <c r="L128" s="29" t="inlineStr">
        <is>
          <t>Ha</t>
        </is>
      </c>
      <c r="M128" s="27" t="inlineStr"/>
      <c r="N128" s="29" t="inlineStr">
        <is>
          <t>Avtomatlashtirilmagan</t>
        </is>
      </c>
      <c r="O128" s="27" t="inlineStr"/>
      <c r="P128" s="29" t="inlineStr">
        <is>
          <t>Bajarilmagan</t>
        </is>
      </c>
      <c r="Q128" s="27" t="inlineStr"/>
    </row>
    <row r="129" ht="34" customHeight="1">
      <c r="A129" s="26" t="inlineStr">
        <is>
          <t>BAN-002</t>
        </is>
      </c>
      <c r="B129" s="27" t="inlineStr">
        <is>
          <t>Bannerlar</t>
        </is>
      </c>
      <c r="C129" s="27" t="inlineStr">
        <is>
          <t>Bannerlar</t>
        </is>
      </c>
      <c r="D129" s="28" t="inlineStr">
        <is>
          <t>Bannerni o'chirish</t>
        </is>
      </c>
      <c r="E129" s="29" t="inlineStr">
        <is>
          <t>P3</t>
        </is>
      </c>
      <c r="F129" s="29" t="inlineStr">
        <is>
          <t>Functional</t>
        </is>
      </c>
      <c r="G129" s="27" t="inlineStr">
        <is>
          <t>Test banner</t>
        </is>
      </c>
      <c r="H129" s="27" t="inlineStr">
        <is>
          <t>1. «Delete»</t>
        </is>
      </c>
      <c r="I129" s="27" t="inlineStr"/>
      <c r="J129" s="27" t="inlineStr">
        <is>
          <t>Banner admin paneldan va vitrinadan yo'qoladi</t>
        </is>
      </c>
      <c r="K129" s="27" t="inlineStr"/>
      <c r="L129" s="29" t="inlineStr">
        <is>
          <t>Ha</t>
        </is>
      </c>
      <c r="M129" s="27" t="inlineStr"/>
      <c r="N129" s="29" t="inlineStr">
        <is>
          <t>Avtomatlashtirilmagan</t>
        </is>
      </c>
      <c r="O129" s="27" t="inlineStr"/>
      <c r="P129" s="29" t="inlineStr">
        <is>
          <t>Bajarilmagan</t>
        </is>
      </c>
      <c r="Q129" s="27" t="inlineStr"/>
    </row>
    <row r="130" ht="48" customHeight="1">
      <c r="A130" s="30" t="inlineStr">
        <is>
          <t>DEBT-001</t>
        </is>
      </c>
      <c r="B130" s="31" t="inlineStr">
        <is>
          <t>Qarz va hamyon</t>
        </is>
      </c>
      <c r="C130" s="31" t="inlineStr">
        <is>
          <t>Hamyonlar</t>
        </is>
      </c>
      <c r="D130" s="32" t="inlineStr">
        <is>
          <t>Hamyonlar ro'yxati</t>
        </is>
      </c>
      <c r="E130" s="33" t="inlineStr">
        <is>
          <t>P3</t>
        </is>
      </c>
      <c r="F130" s="33" t="inlineStr">
        <is>
          <t>UI</t>
        </is>
      </c>
      <c r="G130" s="31" t="inlineStr">
        <is>
          <t>Admin panelga test akkaunti bilan kirilgan (to'liq huquqlar)</t>
        </is>
      </c>
      <c r="H130" s="31" t="inlineStr">
        <is>
          <t>1. Qarz va hamyon → Hamyon</t>
        </is>
      </c>
      <c r="I130" s="31" t="inlineStr"/>
      <c r="J130" s="31" t="inlineStr">
        <is>
          <t>Ustunlar: ism, hamyon balansi, telefon, holat</t>
        </is>
      </c>
      <c r="K130" s="31" t="inlineStr"/>
      <c r="L130" s="33" t="inlineStr">
        <is>
          <t>Ha</t>
        </is>
      </c>
      <c r="M130" s="31" t="inlineStr"/>
      <c r="N130" s="33" t="inlineStr">
        <is>
          <t>Avtomatlashtirilmagan</t>
        </is>
      </c>
      <c r="O130" s="31" t="inlineStr"/>
      <c r="P130" s="33" t="inlineStr">
        <is>
          <t>Bajarilmagan</t>
        </is>
      </c>
      <c r="Q130" s="31" t="inlineStr"/>
    </row>
    <row r="131" ht="48" customHeight="1">
      <c r="A131" s="30" t="inlineStr">
        <is>
          <t>DEBT-002</t>
        </is>
      </c>
      <c r="B131" s="31" t="inlineStr">
        <is>
          <t>Qarz va hamyon</t>
        </is>
      </c>
      <c r="C131" s="31" t="inlineStr">
        <is>
          <t>Tranzaksiyalar</t>
        </is>
      </c>
      <c r="D131" s="32" t="inlineStr">
        <is>
          <t>Hamyon tranzaksiyalari: filtrlar, qidiruv, saralash</t>
        </is>
      </c>
      <c r="E131" s="33" t="inlineStr">
        <is>
          <t>P2</t>
        </is>
      </c>
      <c r="F131" s="33" t="inlineStr">
        <is>
          <t>Functional</t>
        </is>
      </c>
      <c r="G131" s="31" t="inlineStr">
        <is>
          <t>Admin panelga test akkaunti bilan kirilgan (to'liq huquqlar)</t>
        </is>
      </c>
      <c r="H131" s="31" t="inlineStr">
        <is>
          <t>1. Hamyon tranzaksiyalari
2. Filtr, TX-ID/telefon bo'yicha qidiruv, saralash</t>
        </is>
      </c>
      <c r="I131" s="31" t="inlineStr"/>
      <c r="J131" s="31" t="inlineStr">
        <is>
          <t>12 ustunli jadval; qidiruv «TX-» prefiksini e'tiborsiz qoldiradi; saralash kamayish → o'sish → standart; jami summalar butun filtr bo'yicha</t>
        </is>
      </c>
      <c r="K131" s="31" t="inlineStr">
        <is>
          <t>PRD Wallet</t>
        </is>
      </c>
      <c r="L131" s="33" t="inlineStr">
        <is>
          <t>Ha</t>
        </is>
      </c>
      <c r="M131" s="31" t="inlineStr"/>
      <c r="N131" s="33" t="inlineStr">
        <is>
          <t>Avtomatlashtirilmagan</t>
        </is>
      </c>
      <c r="O131" s="31" t="inlineStr"/>
      <c r="P131" s="33" t="inlineStr">
        <is>
          <t>Bajarilmagan</t>
        </is>
      </c>
      <c r="Q131" s="31" t="inlineStr"/>
    </row>
    <row r="132" ht="48" customHeight="1">
      <c r="A132" s="30" t="inlineStr">
        <is>
          <t>DEBT-003</t>
        </is>
      </c>
      <c r="B132" s="31" t="inlineStr">
        <is>
          <t>Qarz va hamyon</t>
        </is>
      </c>
      <c r="C132" s="31" t="inlineStr">
        <is>
          <t>Tranzaksiyalar</t>
        </is>
      </c>
      <c r="D132" s="32" t="inlineStr">
        <is>
          <t>Hamyonni to'ldirish va yechib olish</t>
        </is>
      </c>
      <c r="E132" s="33" t="inlineStr">
        <is>
          <t>P1</t>
        </is>
      </c>
      <c r="F132" s="33" t="inlineStr">
        <is>
          <t>Functional</t>
        </is>
      </c>
      <c r="G132" s="31" t="inlineStr">
        <is>
          <t>Test usta</t>
        </is>
      </c>
      <c r="H132" s="31" t="inlineStr">
        <is>
          <t>1. To'ldirish: foydalanuvchi, ombor, summa &gt; 0
2. Balansdan ko'p, so'ng butun balansni yechish</t>
        </is>
      </c>
      <c r="I132" s="31" t="inlineStr"/>
      <c r="J132" s="31" t="inlineStr">
        <is>
          <t>To'ldirish va yechish ijrochi bilan yoziladi; balansdan ko'p yechib bo'lmaydi; butun balans — mumkin; mijoz «Hamyon tranzaksiyalari»da ko'radi</t>
        </is>
      </c>
      <c r="K132" s="31" t="inlineStr"/>
      <c r="L132" s="33" t="inlineStr">
        <is>
          <t>Ha</t>
        </is>
      </c>
      <c r="M132" s="31" t="inlineStr"/>
      <c r="N132" s="33" t="inlineStr">
        <is>
          <t>Avtomatlashtirilmagan</t>
        </is>
      </c>
      <c r="O132" s="31" t="inlineStr"/>
      <c r="P132" s="33" t="inlineStr">
        <is>
          <t>Bajarilmagan</t>
        </is>
      </c>
      <c r="Q132" s="31" t="inlineStr"/>
    </row>
    <row r="133" ht="48" customHeight="1">
      <c r="A133" s="30" t="inlineStr">
        <is>
          <t>DEBT-004</t>
        </is>
      </c>
      <c r="B133" s="31" t="inlineStr">
        <is>
          <t>Qarz va hamyon</t>
        </is>
      </c>
      <c r="C133" s="31" t="inlineStr">
        <is>
          <t>Ballar</t>
        </is>
      </c>
      <c r="D133" s="32" t="inlineStr">
        <is>
          <t>Ball tranzaksiyalari</t>
        </is>
      </c>
      <c r="E133" s="33" t="inlineStr">
        <is>
          <t>P3</t>
        </is>
      </c>
      <c r="F133" s="33" t="inlineStr">
        <is>
          <t>Functional</t>
        </is>
      </c>
      <c r="G133" s="31" t="inlineStr">
        <is>
          <t>Admin panelga test akkaunti bilan kirilgan (to'liq huquqlar)</t>
        </is>
      </c>
      <c r="H133" s="31" t="inlineStr">
        <is>
          <t>1. Ball tranzaksiyalari</t>
        </is>
      </c>
      <c r="I133" s="31" t="inlineStr"/>
      <c r="J133" s="31" t="inlineStr">
        <is>
          <t>Turlar: berildi, ball bilan to'lov, qaytarildi, qaytarishda bekor qilindi; jami summalar</t>
        </is>
      </c>
      <c r="K133" s="31" t="inlineStr">
        <is>
          <t>PRD Point</t>
        </is>
      </c>
      <c r="L133" s="33" t="inlineStr">
        <is>
          <t>Ha</t>
        </is>
      </c>
      <c r="M133" s="31" t="inlineStr"/>
      <c r="N133" s="33" t="inlineStr">
        <is>
          <t>Avtomatlashtirilmagan</t>
        </is>
      </c>
      <c r="O133" s="31" t="inlineStr"/>
      <c r="P133" s="33" t="inlineStr">
        <is>
          <t>Bajarilmagan</t>
        </is>
      </c>
      <c r="Q133" s="31" t="inlineStr"/>
    </row>
    <row r="134" ht="62" customHeight="1">
      <c r="A134" s="30" t="inlineStr">
        <is>
          <t>DEBT-005</t>
        </is>
      </c>
      <c r="B134" s="31" t="inlineStr">
        <is>
          <t>Qarz va hamyon</t>
        </is>
      </c>
      <c r="C134" s="31" t="inlineStr">
        <is>
          <t>To'lash</t>
        </is>
      </c>
      <c r="D134" s="32" t="inlineStr">
        <is>
          <t>Qarzni to'lash</t>
        </is>
      </c>
      <c r="E134" s="33" t="inlineStr">
        <is>
          <t>P1</t>
        </is>
      </c>
      <c r="F134" s="33" t="inlineStr">
        <is>
          <t>Functional</t>
        </is>
      </c>
      <c r="G134" s="31" t="inlineStr">
        <is>
          <t>Ustada to'lanmagan Hamyon buyurtmalari bor</t>
        </is>
      </c>
      <c r="H134" s="31" t="inlineStr">
        <is>
          <t>1. Qarzni to'lash → mijozni tanlash
2. Buyurtmalarni belgilash
3. «To'lash» (ballsiz, so'ng ball bilan)</t>
        </is>
      </c>
      <c r="I134" s="31" t="inlineStr"/>
      <c r="J134" s="31" t="inlineStr">
        <is>
          <t>Saralash: muddati o'tgan → uzaytirilgan → to'lanmagan → kech to'langan → to'langan; «Tanlangan» va «Qolgan qarz» qayta hisoblanadi; mablag' yetmasa — xato; to'langanlarga sana qo'yiladi</t>
        </is>
      </c>
      <c r="K134" s="31" t="inlineStr">
        <is>
          <t>PRD Pay Debt</t>
        </is>
      </c>
      <c r="L134" s="33" t="inlineStr">
        <is>
          <t>Ha</t>
        </is>
      </c>
      <c r="M134" s="31" t="inlineStr"/>
      <c r="N134" s="33" t="inlineStr">
        <is>
          <t>Avtomatlashtirilmagan</t>
        </is>
      </c>
      <c r="O134" s="31" t="inlineStr"/>
      <c r="P134" s="33" t="inlineStr">
        <is>
          <t>Bajarilmagan</t>
        </is>
      </c>
      <c r="Q134" s="31" t="inlineStr"/>
    </row>
    <row r="135" ht="48" customHeight="1">
      <c r="A135" s="30" t="inlineStr">
        <is>
          <t>DEBT-006</t>
        </is>
      </c>
      <c r="B135" s="31" t="inlineStr">
        <is>
          <t>Qarz va hamyon</t>
        </is>
      </c>
      <c r="C135" s="31" t="inlineStr">
        <is>
          <t>Mijoz limiti</t>
        </is>
      </c>
      <c r="D135" s="32" t="inlineStr">
        <is>
          <t>Qarz limitini o'zgartirish</t>
        </is>
      </c>
      <c r="E135" s="33" t="inlineStr">
        <is>
          <t>P1</t>
        </is>
      </c>
      <c r="F135" s="33" t="inlineStr">
        <is>
          <t>Functional</t>
        </is>
      </c>
      <c r="G135" s="31" t="inlineStr">
        <is>
          <t>Test usta (B2M)</t>
        </is>
      </c>
      <c r="H135" s="31" t="inlineStr">
        <is>
          <t>1. Qarz cheklovi → Limit Summa va Limit Kun ni o'zgartirish</t>
        </is>
      </c>
      <c r="I135" s="31" t="inlineStr"/>
      <c r="J135" s="31" t="inlineStr">
        <is>
          <t>B2M: summa 0…20 000 000, kun 0…15; B2B: 0…600 000 000, 0…25; o'zgarish jurnalga yoziladi; vitrinada Hamyon ochiladi</t>
        </is>
      </c>
      <c r="K135" s="31" t="inlineStr">
        <is>
          <t>PRD Debt Limit</t>
        </is>
      </c>
      <c r="L135" s="33" t="inlineStr">
        <is>
          <t>Ha</t>
        </is>
      </c>
      <c r="M135" s="31" t="inlineStr"/>
      <c r="N135" s="33" t="inlineStr">
        <is>
          <t>Avtomatlashtirilmagan</t>
        </is>
      </c>
      <c r="O135" s="31" t="inlineStr"/>
      <c r="P135" s="33" t="inlineStr">
        <is>
          <t>Bajarilmagan</t>
        </is>
      </c>
      <c r="Q135" s="31" t="inlineStr"/>
    </row>
    <row r="136" ht="34" customHeight="1">
      <c r="A136" s="30" t="inlineStr">
        <is>
          <t>DEBT-007</t>
        </is>
      </c>
      <c r="B136" s="31" t="inlineStr">
        <is>
          <t>Qarz va hamyon</t>
        </is>
      </c>
      <c r="C136" s="31" t="inlineStr">
        <is>
          <t>Mijoz limiti</t>
        </is>
      </c>
      <c r="D136" s="32" t="inlineStr">
        <is>
          <t>Oraliqdan tashqari limit</t>
        </is>
      </c>
      <c r="E136" s="33" t="inlineStr">
        <is>
          <t>P2</t>
        </is>
      </c>
      <c r="F136" s="33" t="inlineStr">
        <is>
          <t>Negative</t>
        </is>
      </c>
      <c r="G136" s="31" t="inlineStr">
        <is>
          <t>Test usta</t>
        </is>
      </c>
      <c r="H136" s="31" t="inlineStr">
        <is>
          <t>1. Summa 25 000 000
2. Kun 16</t>
        </is>
      </c>
      <c r="I136" s="31" t="inlineStr"/>
      <c r="J136" s="31" t="inlineStr">
        <is>
          <t>Validatsiya xatolari</t>
        </is>
      </c>
      <c r="K136" s="31" t="inlineStr"/>
      <c r="L136" s="33" t="inlineStr">
        <is>
          <t>Ha</t>
        </is>
      </c>
      <c r="M136" s="31" t="inlineStr"/>
      <c r="N136" s="33" t="inlineStr">
        <is>
          <t>Avtomatlashtirilmagan</t>
        </is>
      </c>
      <c r="O136" s="31" t="inlineStr"/>
      <c r="P136" s="33" t="inlineStr">
        <is>
          <t>Bajarilmagan</t>
        </is>
      </c>
      <c r="Q136" s="31" t="inlineStr"/>
    </row>
    <row r="137" ht="34" customHeight="1">
      <c r="A137" s="30" t="inlineStr">
        <is>
          <t>DEBT-008</t>
        </is>
      </c>
      <c r="B137" s="31" t="inlineStr">
        <is>
          <t>Qarz va hamyon</t>
        </is>
      </c>
      <c r="C137" s="31" t="inlineStr">
        <is>
          <t>Filial limiti</t>
        </is>
      </c>
      <c r="D137" s="32" t="inlineStr">
        <is>
          <t>Filial limitlari va tarixi</t>
        </is>
      </c>
      <c r="E137" s="33" t="inlineStr">
        <is>
          <t>P2</t>
        </is>
      </c>
      <c r="F137" s="33" t="inlineStr">
        <is>
          <t>Functional</t>
        </is>
      </c>
      <c r="G137" s="31" t="inlineStr">
        <is>
          <t>CEO/Developer foydalanuvchisi</t>
        </is>
      </c>
      <c r="H137" s="31" t="inlineStr">
        <is>
          <t>1. Filial qarz limitlari → limitni o'zgartirish
2. «Change history»</t>
        </is>
      </c>
      <c r="I137" s="31" t="inlineStr"/>
      <c r="J137" s="31" t="inlineStr">
        <is>
          <t>Qolgan = limit − joriy qarz; limit 0 → «Yopiq»; tarixda kim/qachon/qanchadan/qanchaga</t>
        </is>
      </c>
      <c r="K137" s="31" t="inlineStr">
        <is>
          <t>PRD Filial qarz limiti</t>
        </is>
      </c>
      <c r="L137" s="33" t="inlineStr">
        <is>
          <t>Qisman</t>
        </is>
      </c>
      <c r="M137" s="31" t="inlineStr"/>
      <c r="N137" s="33" t="inlineStr">
        <is>
          <t>Avtomatlashtirilmagan</t>
        </is>
      </c>
      <c r="O137" s="31" t="inlineStr"/>
      <c r="P137" s="33" t="inlineStr">
        <is>
          <t>Bajarilmagan</t>
        </is>
      </c>
      <c r="Q137" s="31" t="inlineStr"/>
    </row>
    <row r="138" ht="48" customHeight="1">
      <c r="A138" s="30" t="inlineStr">
        <is>
          <t>DEBT-009</t>
        </is>
      </c>
      <c r="B138" s="31" t="inlineStr">
        <is>
          <t>Qarz va hamyon</t>
        </is>
      </c>
      <c r="C138" s="31" t="inlineStr">
        <is>
          <t>Qarzdorlar</t>
        </is>
      </c>
      <c r="D138" s="32" t="inlineStr">
        <is>
          <t>Omborlar kesimida qarzdorlar</t>
        </is>
      </c>
      <c r="E138" s="33" t="inlineStr">
        <is>
          <t>P3</t>
        </is>
      </c>
      <c r="F138" s="33" t="inlineStr">
        <is>
          <t>Functional</t>
        </is>
      </c>
      <c r="G138" s="31" t="inlineStr">
        <is>
          <t>Admin panelga test akkaunti bilan kirilgan (to'liq huquqlar)</t>
        </is>
      </c>
      <c r="H138" s="31" t="inlineStr">
        <is>
          <t>1. Omborlar kesimida qarzdorlar</t>
        </is>
      </c>
      <c r="I138" s="31" t="inlineStr"/>
      <c r="J138" s="31" t="inlineStr">
        <is>
          <t>Omborlar bo'yicha limit va qolgan bilan hisobot</t>
        </is>
      </c>
      <c r="K138" s="31" t="inlineStr"/>
      <c r="L138" s="33" t="inlineStr">
        <is>
          <t>Ha</t>
        </is>
      </c>
      <c r="M138" s="31" t="inlineStr"/>
      <c r="N138" s="33" t="inlineStr">
        <is>
          <t>Avtomatlashtirilmagan</t>
        </is>
      </c>
      <c r="O138" s="31" t="inlineStr"/>
      <c r="P138" s="33" t="inlineStr">
        <is>
          <t>Bajarilmagan</t>
        </is>
      </c>
      <c r="Q138" s="31" t="inlineStr"/>
    </row>
    <row r="139" ht="90" customHeight="1">
      <c r="A139" s="26" t="inlineStr">
        <is>
          <t>MSG-001</t>
        </is>
      </c>
      <c r="B139" s="27" t="inlineStr">
        <is>
          <t>Xabarlar (push, chat)</t>
        </is>
      </c>
      <c r="C139" s="27" t="inlineStr">
        <is>
          <t>Push</t>
        </is>
      </c>
      <c r="D139" s="28" t="inlineStr">
        <is>
          <t>Push xabarnoma yaratish</t>
        </is>
      </c>
      <c r="E139" s="29" t="inlineStr">
        <is>
          <t>P2</t>
        </is>
      </c>
      <c r="F139" s="29" t="inlineStr">
        <is>
          <t>Functional</t>
        </is>
      </c>
      <c r="G139" s="27" t="inlineStr">
        <is>
          <t>Admin panelga test akkaunti bilan kirilgan (to'liq huquqlar)</t>
        </is>
      </c>
      <c r="H139" s="27" t="inlineStr">
        <is>
          <t>1. Push xabarnomalar → «Create notification»
2. 1-qadam: sarlavha va matnlar UZ/RU/EN, Navigate → «Next»
3. 2-qadam: ombor, foydalanuvchi turi, telefon turi → «Next»
4. 3-qadam: vaqt</t>
        </is>
      </c>
      <c r="I139" s="27" t="inlineStr"/>
      <c r="J139" s="27" t="inlineStr">
        <is>
          <t>Xabarnoma ro'yxatda; majburiy maydonlarsiz «Next» o'tmaydi</t>
        </is>
      </c>
      <c r="K139" s="27" t="inlineStr">
        <is>
          <t>PRD Push Notification System</t>
        </is>
      </c>
      <c r="L139" s="29" t="inlineStr">
        <is>
          <t>Ha</t>
        </is>
      </c>
      <c r="M139" s="27" t="inlineStr"/>
      <c r="N139" s="29" t="inlineStr">
        <is>
          <t>Avtomatlashtirilmagan</t>
        </is>
      </c>
      <c r="O139" s="27" t="inlineStr"/>
      <c r="P139" s="29" t="inlineStr">
        <is>
          <t>Bajarilmagan</t>
        </is>
      </c>
      <c r="Q139" s="27" t="inlineStr"/>
    </row>
    <row r="140" ht="48" customHeight="1">
      <c r="A140" s="26" t="inlineStr">
        <is>
          <t>MSG-002</t>
        </is>
      </c>
      <c r="B140" s="27" t="inlineStr">
        <is>
          <t>Xabarlar (push, chat)</t>
        </is>
      </c>
      <c r="C140" s="27" t="inlineStr">
        <is>
          <t>Push</t>
        </is>
      </c>
      <c r="D140" s="28" t="inlineStr">
        <is>
          <t>Qoralama va yuborilgan xabarnoma</t>
        </is>
      </c>
      <c r="E140" s="29" t="inlineStr">
        <is>
          <t>P3</t>
        </is>
      </c>
      <c r="F140" s="29" t="inlineStr">
        <is>
          <t>Functional</t>
        </is>
      </c>
      <c r="G140" s="27" t="inlineStr">
        <is>
          <t>Admin panelga test akkaunti bilan kirilgan (to'liq huquqlar)</t>
        </is>
      </c>
      <c r="H140" s="27" t="inlineStr">
        <is>
          <t>1. Istalgan qadamda «Save (draft)»
2. Yuborilganini ochish</t>
        </is>
      </c>
      <c r="I140" s="27" t="inlineStr"/>
      <c r="J140" s="27" t="inlineStr">
        <is>
          <t>Qoralama saqlanadi; yuborilgani — faqat ko'rish</t>
        </is>
      </c>
      <c r="K140" s="27" t="inlineStr"/>
      <c r="L140" s="29" t="inlineStr">
        <is>
          <t>Ha</t>
        </is>
      </c>
      <c r="M140" s="27" t="inlineStr"/>
      <c r="N140" s="29" t="inlineStr">
        <is>
          <t>Avtomatlashtirilmagan</t>
        </is>
      </c>
      <c r="O140" s="27" t="inlineStr"/>
      <c r="P140" s="29" t="inlineStr">
        <is>
          <t>Bajarilmagan</t>
        </is>
      </c>
      <c r="Q140" s="27" t="inlineStr"/>
    </row>
    <row r="141" ht="34" customHeight="1">
      <c r="A141" s="26" t="inlineStr">
        <is>
          <t>MSG-003</t>
        </is>
      </c>
      <c r="B141" s="27" t="inlineStr">
        <is>
          <t>Xabarlar (push, chat)</t>
        </is>
      </c>
      <c r="C141" s="27" t="inlineStr">
        <is>
          <t>Push</t>
        </is>
      </c>
      <c r="D141" s="28" t="inlineStr">
        <is>
          <t>VA sharti bo'yicha qabul qiluvchilar</t>
        </is>
      </c>
      <c r="E141" s="29" t="inlineStr">
        <is>
          <t>P2</t>
        </is>
      </c>
      <c r="F141" s="29" t="inlineStr">
        <is>
          <t>Integration</t>
        </is>
      </c>
      <c r="G141" s="27" t="inlineStr">
        <is>
          <t>Xabarnoma: ombor + Usta + platforma</t>
        </is>
      </c>
      <c r="H141" s="27" t="inlineStr">
        <is>
          <t>1. Yuborish</t>
        </is>
      </c>
      <c r="I141" s="27" t="inlineStr"/>
      <c r="J141" s="27" t="inlineStr">
        <is>
          <t>Faqat barcha shartlarga mos mijozlar oladi; vitrinadagi «Bildirishnomalar»da yozuv</t>
        </is>
      </c>
      <c r="K141" s="27" t="inlineStr"/>
      <c r="L141" s="29" t="inlineStr">
        <is>
          <t>Qisman</t>
        </is>
      </c>
      <c r="M141" s="27" t="inlineStr"/>
      <c r="N141" s="29" t="inlineStr">
        <is>
          <t>Avtomatlashtirilmagan</t>
        </is>
      </c>
      <c r="O141" s="27" t="inlineStr"/>
      <c r="P141" s="29" t="inlineStr">
        <is>
          <t>Bajarilmagan</t>
        </is>
      </c>
      <c r="Q141" s="27" t="inlineStr"/>
    </row>
    <row r="142" ht="48" customHeight="1">
      <c r="A142" s="26" t="inlineStr">
        <is>
          <t>MSG-004</t>
        </is>
      </c>
      <c r="B142" s="27" t="inlineStr">
        <is>
          <t>Xabarlar (push, chat)</t>
        </is>
      </c>
      <c r="C142" s="27" t="inlineStr">
        <is>
          <t>Chat</t>
        </is>
      </c>
      <c r="D142" s="28" t="inlineStr">
        <is>
          <t>Mijozlar bilan chat</t>
        </is>
      </c>
      <c r="E142" s="29" t="inlineStr">
        <is>
          <t>P2</t>
        </is>
      </c>
      <c r="F142" s="29" t="inlineStr">
        <is>
          <t>Functional</t>
        </is>
      </c>
      <c r="G142" s="27" t="inlineStr">
        <is>
          <t>Mijoz qo'llab-quvvatlashga yozgan</t>
        </is>
      </c>
      <c r="H142" s="27" t="inlineStr">
        <is>
          <t>1. Xabarlar → Chat
2. Javob berish, fayl biriktirish
3. Chatni yopish</t>
        </is>
      </c>
      <c r="I142" s="27" t="inlineStr"/>
      <c r="J142" s="27" t="inlineStr">
        <is>
          <t>Ro'yxat All/Unread; javob mijozga yetadi; fayl ≤ 10 MB, matn ≤ 1000 belgi; yopilgach chat faqat o'qish uchun</t>
        </is>
      </c>
      <c r="K142" s="27" t="inlineStr">
        <is>
          <t>PRD CHAT</t>
        </is>
      </c>
      <c r="L142" s="29" t="inlineStr">
        <is>
          <t>Qisman</t>
        </is>
      </c>
      <c r="M142" s="27" t="inlineStr"/>
      <c r="N142" s="29" t="inlineStr">
        <is>
          <t>Avtomatlashtirilmagan</t>
        </is>
      </c>
      <c r="O142" s="27" t="inlineStr"/>
      <c r="P142" s="29" t="inlineStr">
        <is>
          <t>Bajarilmagan</t>
        </is>
      </c>
      <c r="Q142" s="27" t="inlineStr"/>
    </row>
    <row r="143" ht="48" customHeight="1">
      <c r="A143" s="30" t="inlineStr">
        <is>
          <t>PERM-001</t>
        </is>
      </c>
      <c r="B143" s="31" t="inlineStr">
        <is>
          <t>Ruxsatlar</t>
        </is>
      </c>
      <c r="C143" s="31" t="inlineStr">
        <is>
          <t>Rollar</t>
        </is>
      </c>
      <c r="D143" s="32" t="inlineStr">
        <is>
          <t>Xodim roli va huquqlarini yaratish</t>
        </is>
      </c>
      <c r="E143" s="33" t="inlineStr">
        <is>
          <t>P1</t>
        </is>
      </c>
      <c r="F143" s="33" t="inlineStr">
        <is>
          <t>Functional</t>
        </is>
      </c>
      <c r="G143" s="31" t="inlineStr">
        <is>
          <t>Admin panelga test akkaunti bilan kirilgan (to'liq huquqlar)</t>
        </is>
      </c>
      <c r="H143" s="31" t="inlineStr">
        <is>
          <t>1. Rol va ruxsatlar → «Yaratish»: nomi, modullar, huquqlar
2. Saqlash</t>
        </is>
      </c>
      <c r="I143" s="31" t="inlineStr"/>
      <c r="J143" s="31" t="inlineStr">
        <is>
          <t>Rol modullar bilan; «Barcha rollar / Barcha modullar» filtrlari; o'chirish tasdiq bilan</t>
        </is>
      </c>
      <c r="K143" s="31" t="inlineStr">
        <is>
          <t>PRD Roles and Permissions Module</t>
        </is>
      </c>
      <c r="L143" s="33" t="inlineStr">
        <is>
          <t>Ha</t>
        </is>
      </c>
      <c r="M143" s="31" t="inlineStr"/>
      <c r="N143" s="33" t="inlineStr">
        <is>
          <t>Avtomatlashtirilmagan</t>
        </is>
      </c>
      <c r="O143" s="31" t="inlineStr"/>
      <c r="P143" s="33" t="inlineStr">
        <is>
          <t>Bajarilmagan</t>
        </is>
      </c>
      <c r="Q143" s="31" t="inlineStr"/>
    </row>
    <row r="144" ht="34" customHeight="1">
      <c r="A144" s="30" t="inlineStr">
        <is>
          <t>PERM-002</t>
        </is>
      </c>
      <c r="B144" s="31" t="inlineStr">
        <is>
          <t>Ruxsatlar</t>
        </is>
      </c>
      <c r="C144" s="31" t="inlineStr">
        <is>
          <t>Ruxsat</t>
        </is>
      </c>
      <c r="D144" s="32" t="inlineStr">
        <is>
          <t>Modulga huquq yo'q</t>
        </is>
      </c>
      <c r="E144" s="33" t="inlineStr">
        <is>
          <t>P1</t>
        </is>
      </c>
      <c r="F144" s="33" t="inlineStr">
        <is>
          <t>Security</t>
        </is>
      </c>
      <c r="G144" s="31" t="inlineStr">
        <is>
          <t>«Foydalanuvchilar» modulisiz rol foydalanuvchisi</t>
        </is>
      </c>
      <c r="H144" s="31" t="inlineStr">
        <is>
          <t>1. Kirish
2. /users/user ni to'g'ridan-to'g'ri ochish</t>
        </is>
      </c>
      <c r="I144" s="31" t="inlineStr"/>
      <c r="J144" s="31" t="inlineStr">
        <is>
          <t>Menyu bandi yo'q; sahifa/API rad etadi (403)</t>
        </is>
      </c>
      <c r="K144" s="31" t="inlineStr"/>
      <c r="L144" s="33" t="inlineStr">
        <is>
          <t>Qisman</t>
        </is>
      </c>
      <c r="M144" s="31" t="inlineStr">
        <is>
          <t>Ikkinchi akkaunt kerak</t>
        </is>
      </c>
      <c r="N144" s="33" t="inlineStr">
        <is>
          <t>Avtomatlashtirilmagan</t>
        </is>
      </c>
      <c r="O144" s="31" t="inlineStr"/>
      <c r="P144" s="33" t="inlineStr">
        <is>
          <t>Bajarilmagan</t>
        </is>
      </c>
      <c r="Q144" s="31" t="inlineStr"/>
    </row>
    <row r="145" ht="34" customHeight="1">
      <c r="A145" s="30" t="inlineStr">
        <is>
          <t>PERM-003</t>
        </is>
      </c>
      <c r="B145" s="31" t="inlineStr">
        <is>
          <t>Ruxsatlar</t>
        </is>
      </c>
      <c r="C145" s="31" t="inlineStr">
        <is>
          <t>Ruxsat</t>
        </is>
      </c>
      <c r="D145" s="32" t="inlineStr">
        <is>
          <t>Ombor bo'yicha cheklov</t>
        </is>
      </c>
      <c r="E145" s="33" t="inlineStr">
        <is>
          <t>P1</t>
        </is>
      </c>
      <c r="F145" s="33" t="inlineStr">
        <is>
          <t>Security</t>
        </is>
      </c>
      <c r="G145" s="31" t="inlineStr">
        <is>
          <t>A ombori sotuvchisi</t>
        </is>
      </c>
      <c r="H145" s="31" t="inlineStr">
        <is>
          <t>1. Buyurtmalar, o'tkazmalar, kirimlarni ochish</t>
        </is>
      </c>
      <c r="I145" s="31" t="inlineStr"/>
      <c r="J145" s="31" t="inlineStr">
        <is>
          <t>Faqat o'z omborining hujjatlari ko'rinadi</t>
        </is>
      </c>
      <c r="K145" s="31" t="inlineStr"/>
      <c r="L145" s="33" t="inlineStr">
        <is>
          <t>Qisman</t>
        </is>
      </c>
      <c r="M145" s="31" t="inlineStr"/>
      <c r="N145" s="33" t="inlineStr">
        <is>
          <t>Avtomatlashtirilmagan</t>
        </is>
      </c>
      <c r="O145" s="31" t="inlineStr"/>
      <c r="P145" s="33" t="inlineStr">
        <is>
          <t>Bajarilmagan</t>
        </is>
      </c>
      <c r="Q145" s="31" t="inlineStr"/>
    </row>
    <row r="146" ht="48" customHeight="1">
      <c r="A146" s="30" t="inlineStr">
        <is>
          <t>PERM-004</t>
        </is>
      </c>
      <c r="B146" s="31" t="inlineStr">
        <is>
          <t>Ruxsatlar</t>
        </is>
      </c>
      <c r="C146" s="31" t="inlineStr">
        <is>
          <t>Ma'lumotnomalar</t>
        </is>
      </c>
      <c r="D146" s="32" t="inlineStr">
        <is>
          <t>Modullar va rollar</t>
        </is>
      </c>
      <c r="E146" s="33" t="inlineStr">
        <is>
          <t>P3</t>
        </is>
      </c>
      <c r="F146" s="33" t="inlineStr">
        <is>
          <t>Functional</t>
        </is>
      </c>
      <c r="G146" s="31" t="inlineStr">
        <is>
          <t>Admin panelga test akkaunti bilan kirilgan (to'liq huquqlar)</t>
        </is>
      </c>
      <c r="H146" s="31" t="inlineStr">
        <is>
          <t>1. Modullar → «Yaratish»
2. Rollar → «Yaratish» (nomi, kodi)
3. Rollar uchun ruxsatlar → «Yaratish»</t>
        </is>
      </c>
      <c r="I146" s="31" t="inlineStr"/>
      <c r="J146" s="31" t="inlineStr">
        <is>
          <t>Yozuvlar yaratiladi; rol kodi unikal</t>
        </is>
      </c>
      <c r="K146" s="31" t="inlineStr"/>
      <c r="L146" s="33" t="inlineStr">
        <is>
          <t>Ha</t>
        </is>
      </c>
      <c r="M146" s="31" t="inlineStr"/>
      <c r="N146" s="33" t="inlineStr">
        <is>
          <t>Avtomatlashtirilmagan</t>
        </is>
      </c>
      <c r="O146" s="31" t="inlineStr"/>
      <c r="P146" s="33" t="inlineStr">
        <is>
          <t>Bajarilmagan</t>
        </is>
      </c>
      <c r="Q146" s="31" t="inlineStr"/>
    </row>
    <row r="147" ht="48" customHeight="1">
      <c r="A147" s="26" t="inlineStr">
        <is>
          <t>REP-001</t>
        </is>
      </c>
      <c r="B147" s="27" t="inlineStr">
        <is>
          <t>Hisobotlar</t>
        </is>
      </c>
      <c r="C147" s="27" t="inlineStr">
        <is>
          <t>Mijozlar buyurtmalari</t>
        </is>
      </c>
      <c r="D147" s="28" t="inlineStr">
        <is>
          <t>«Mijozlarning buyurtmalari» hisoboti</t>
        </is>
      </c>
      <c r="E147" s="29" t="inlineStr">
        <is>
          <t>P2</t>
        </is>
      </c>
      <c r="F147" s="29" t="inlineStr">
        <is>
          <t>Functional</t>
        </is>
      </c>
      <c r="G147" s="27" t="inlineStr">
        <is>
          <t>Admin panelga test akkaunti bilan kirilgan (to'liq huquqlar)</t>
        </is>
      </c>
      <c r="H147" s="27" t="inlineStr">
        <is>
          <t>1. Hisobotlar → Mijozlarning buyurtmalari: davr, ombor → «Generate»</t>
        </is>
      </c>
      <c r="I147" s="27" t="inlineStr"/>
      <c r="J147" s="27" t="inlineStr">
        <is>
          <t>Hisobot tuziladi, summalar buyurtmalar bilan mos</t>
        </is>
      </c>
      <c r="K147" s="27" t="inlineStr"/>
      <c r="L147" s="29" t="inlineStr">
        <is>
          <t>Qisman</t>
        </is>
      </c>
      <c r="M147" s="27" t="inlineStr"/>
      <c r="N147" s="29" t="inlineStr">
        <is>
          <t>Avtomatlashtirilmagan</t>
        </is>
      </c>
      <c r="O147" s="27" t="inlineStr"/>
      <c r="P147" s="29" t="inlineStr">
        <is>
          <t>Bajarilmagan</t>
        </is>
      </c>
      <c r="Q147" s="27" t="inlineStr"/>
    </row>
    <row r="148" ht="48" customHeight="1">
      <c r="A148" s="26" t="inlineStr">
        <is>
          <t>REP-002</t>
        </is>
      </c>
      <c r="B148" s="27" t="inlineStr">
        <is>
          <t>Hisobotlar</t>
        </is>
      </c>
      <c r="C148" s="27" t="inlineStr">
        <is>
          <t>Mahsulot tarixi</t>
        </is>
      </c>
      <c r="D148" s="28" t="inlineStr">
        <is>
          <t>Mahsulot tarixi</t>
        </is>
      </c>
      <c r="E148" s="29" t="inlineStr">
        <is>
          <t>P2</t>
        </is>
      </c>
      <c r="F148" s="29" t="inlineStr">
        <is>
          <t>Functional</t>
        </is>
      </c>
      <c r="G148" s="27" t="inlineStr">
        <is>
          <t>Admin panelga test akkaunti bilan kirilgan (to'liq huquqlar)</t>
        </is>
      </c>
      <c r="H148" s="27" t="inlineStr">
        <is>
          <t>1. Mahsulot Tarixi: davr, ombor, mahsulot (majburiy) → «Filtr»
2. «Yuklab olish»</t>
        </is>
      </c>
      <c r="I148" s="27" t="inlineStr"/>
      <c r="J148" s="27" t="inlineStr">
        <is>
          <t>Davr bo'yicha harakatlar; Excel = jadval; mahsulotsiz — xato</t>
        </is>
      </c>
      <c r="K148" s="27" t="inlineStr">
        <is>
          <t>PRD Product History</t>
        </is>
      </c>
      <c r="L148" s="29" t="inlineStr">
        <is>
          <t>Ha</t>
        </is>
      </c>
      <c r="M148" s="27" t="inlineStr"/>
      <c r="N148" s="29" t="inlineStr">
        <is>
          <t>Avtomatlashtirilmagan</t>
        </is>
      </c>
      <c r="O148" s="27" t="inlineStr"/>
      <c r="P148" s="29" t="inlineStr">
        <is>
          <t>Bajarilmagan</t>
        </is>
      </c>
      <c r="Q148" s="27" t="inlineStr"/>
    </row>
    <row r="149" ht="48" customHeight="1">
      <c r="A149" s="26" t="inlineStr">
        <is>
          <t>REP-003</t>
        </is>
      </c>
      <c r="B149" s="27" t="inlineStr">
        <is>
          <t>Hisobotlar</t>
        </is>
      </c>
      <c r="C149" s="27" t="inlineStr">
        <is>
          <t>Material</t>
        </is>
      </c>
      <c r="D149" s="28" t="inlineStr">
        <is>
          <t>Material hisoboti va solishtirish</t>
        </is>
      </c>
      <c r="E149" s="29" t="inlineStr">
        <is>
          <t>P1</t>
        </is>
      </c>
      <c r="F149" s="29" t="inlineStr">
        <is>
          <t>Functional</t>
        </is>
      </c>
      <c r="G149" s="27" t="inlineStr">
        <is>
          <t>Admin panelga test akkaunti bilan kirilgan (to'liq huquqlar)</t>
        </is>
      </c>
      <c r="H149" s="27" t="inlineStr">
        <is>
          <t>1. Material hisoboti: davr, ombor → «Generate»</t>
        </is>
      </c>
      <c r="I149" s="27" t="inlineStr"/>
      <c r="J149" s="27" t="inlineStr">
        <is>
          <t>Boshlang'ich qoldiq + kirim − chiqim = oxirgi qoldiq</t>
        </is>
      </c>
      <c r="K149" s="27" t="inlineStr">
        <is>
          <t>PRD Material report</t>
        </is>
      </c>
      <c r="L149" s="29" t="inlineStr">
        <is>
          <t>Qisman</t>
        </is>
      </c>
      <c r="M149" s="27" t="inlineStr"/>
      <c r="N149" s="29" t="inlineStr">
        <is>
          <t>Avtomatlashtirilmagan</t>
        </is>
      </c>
      <c r="O149" s="27" t="inlineStr"/>
      <c r="P149" s="29" t="inlineStr">
        <is>
          <t>Bajarilmagan</t>
        </is>
      </c>
      <c r="Q149" s="27" t="inlineStr"/>
    </row>
    <row r="150" ht="48" customHeight="1">
      <c r="A150" s="26" t="inlineStr">
        <is>
          <t>REP-004</t>
        </is>
      </c>
      <c r="B150" s="27" t="inlineStr">
        <is>
          <t>Hisobotlar</t>
        </is>
      </c>
      <c r="C150" s="27" t="inlineStr">
        <is>
          <t>Foyda</t>
        </is>
      </c>
      <c r="D150" s="28" t="inlineStr">
        <is>
          <t>Foyda hisoboti</t>
        </is>
      </c>
      <c r="E150" s="29" t="inlineStr">
        <is>
          <t>P2</t>
        </is>
      </c>
      <c r="F150" s="29" t="inlineStr">
        <is>
          <t>Functional</t>
        </is>
      </c>
      <c r="G150" s="27" t="inlineStr">
        <is>
          <t>Admin panelga test akkaunti bilan kirilgan (to'liq huquqlar)</t>
        </is>
      </c>
      <c r="H150" s="27" t="inlineStr">
        <is>
          <t>1. Foyda hisoboti: davr, ombor → «Generate»</t>
        </is>
      </c>
      <c r="I150" s="27" t="inlineStr"/>
      <c r="J150" s="27" t="inlineStr">
        <is>
          <t>Tushum, tannarx, foyda; sotilgan buyurtmalar bilan mos</t>
        </is>
      </c>
      <c r="K150" s="27" t="inlineStr"/>
      <c r="L150" s="29" t="inlineStr">
        <is>
          <t>Qisman</t>
        </is>
      </c>
      <c r="M150" s="27" t="inlineStr"/>
      <c r="N150" s="29" t="inlineStr">
        <is>
          <t>Avtomatlashtirilmagan</t>
        </is>
      </c>
      <c r="O150" s="27" t="inlineStr"/>
      <c r="P150" s="29" t="inlineStr">
        <is>
          <t>Bajarilmagan</t>
        </is>
      </c>
      <c r="Q150" s="27" t="inlineStr"/>
    </row>
    <row r="151" ht="48" customHeight="1">
      <c r="A151" s="26" t="inlineStr">
        <is>
          <t>REP-005</t>
        </is>
      </c>
      <c r="B151" s="27" t="inlineStr">
        <is>
          <t>Hisobotlar</t>
        </is>
      </c>
      <c r="C151" s="27" t="inlineStr">
        <is>
          <t>MML</t>
        </is>
      </c>
      <c r="D151" s="28" t="inlineStr">
        <is>
          <t>MML hisoboti</t>
        </is>
      </c>
      <c r="E151" s="29" t="inlineStr">
        <is>
          <t>P2</t>
        </is>
      </c>
      <c r="F151" s="29" t="inlineStr">
        <is>
          <t>Functional</t>
        </is>
      </c>
      <c r="G151" s="27" t="inlineStr">
        <is>
          <t>Admin panelga test akkaunti bilan kirilgan (to'liq huquqlar)</t>
        </is>
      </c>
      <c r="H151" s="27" t="inlineStr">
        <is>
          <t>1. MML hisoboti: davr, omborlar, tur (Regular / Summary) → «Generate»</t>
        </is>
      </c>
      <c r="I151" s="27" t="inlineStr"/>
      <c r="J151" s="27" t="inlineStr">
        <is>
          <t>56 ustunli hisobot; «Summary» jamlaydi</t>
        </is>
      </c>
      <c r="K151" s="27" t="inlineStr">
        <is>
          <t>PRD MML report v4</t>
        </is>
      </c>
      <c r="L151" s="29" t="inlineStr">
        <is>
          <t>Qisman</t>
        </is>
      </c>
      <c r="M151" s="27" t="inlineStr"/>
      <c r="N151" s="29" t="inlineStr">
        <is>
          <t>Avtomatlashtirilmagan</t>
        </is>
      </c>
      <c r="O151" s="27" t="inlineStr"/>
      <c r="P151" s="29" t="inlineStr">
        <is>
          <t>Bajarilmagan</t>
        </is>
      </c>
      <c r="Q151" s="27" t="inlineStr"/>
    </row>
    <row r="152" ht="34" customHeight="1">
      <c r="A152" s="26" t="inlineStr">
        <is>
          <t>REP-006</t>
        </is>
      </c>
      <c r="B152" s="27" t="inlineStr">
        <is>
          <t>Hisobotlar</t>
        </is>
      </c>
      <c r="C152" s="27" t="inlineStr">
        <is>
          <t>Mavsum</t>
        </is>
      </c>
      <c r="D152" s="28" t="inlineStr">
        <is>
          <t>Mavsum koeffitsienti</t>
        </is>
      </c>
      <c r="E152" s="29" t="inlineStr">
        <is>
          <t>P3</t>
        </is>
      </c>
      <c r="F152" s="29" t="inlineStr">
        <is>
          <t>Functional</t>
        </is>
      </c>
      <c r="G152" s="27" t="inlineStr">
        <is>
          <t>CEO/Developer foydalanuvchisi</t>
        </is>
      </c>
      <c r="H152" s="27" t="inlineStr">
        <is>
          <t>1. Mavsum → «Set season» / ombor uchun o'zgartirish
2. «Change history»</t>
        </is>
      </c>
      <c r="I152" s="27" t="inlineStr"/>
      <c r="J152" s="27" t="inlineStr">
        <is>
          <t>Qiymat va sana saqlanadi; boshqa rollarga mavjud emas</t>
        </is>
      </c>
      <c r="K152" s="27" t="inlineStr">
        <is>
          <t>PRD Mavsum koeffitsienti</t>
        </is>
      </c>
      <c r="L152" s="29" t="inlineStr">
        <is>
          <t>Ha</t>
        </is>
      </c>
      <c r="M152" s="27" t="inlineStr"/>
      <c r="N152" s="29" t="inlineStr">
        <is>
          <t>Avtomatlashtirilmagan</t>
        </is>
      </c>
      <c r="O152" s="27" t="inlineStr"/>
      <c r="P152" s="29" t="inlineStr">
        <is>
          <t>Bajarilmagan</t>
        </is>
      </c>
      <c r="Q152" s="27" t="inlineStr"/>
    </row>
    <row r="153" ht="48" customHeight="1">
      <c r="A153" s="26" t="inlineStr">
        <is>
          <t>REP-007</t>
        </is>
      </c>
      <c r="B153" s="27" t="inlineStr">
        <is>
          <t>Hisobotlar</t>
        </is>
      </c>
      <c r="C153" s="27" t="inlineStr">
        <is>
          <t>Zakas cycle</t>
        </is>
      </c>
      <c r="D153" s="28" t="inlineStr">
        <is>
          <t>Zakas sikli (Zakas cycle)</t>
        </is>
      </c>
      <c r="E153" s="29" t="inlineStr">
        <is>
          <t>P3</t>
        </is>
      </c>
      <c r="F153" s="29" t="inlineStr">
        <is>
          <t>Functional</t>
        </is>
      </c>
      <c r="G153" s="27" t="inlineStr">
        <is>
          <t>Admin panelga test akkaunti bilan kirilgan (to'liq huquqlar)</t>
        </is>
      </c>
      <c r="H153" s="27" t="inlineStr">
        <is>
          <t>1. Zakas cycle: «Yuklab olish», so'ng «Upload»</t>
        </is>
      </c>
      <c r="I153" s="27" t="inlineStr"/>
      <c r="J153" s="27" t="inlineStr">
        <is>
          <t>Sikl va yuklash yoziladi</t>
        </is>
      </c>
      <c r="K153" s="27" t="inlineStr">
        <is>
          <t>PRD Zakas cycle</t>
        </is>
      </c>
      <c r="L153" s="29" t="inlineStr">
        <is>
          <t>Qisman</t>
        </is>
      </c>
      <c r="M153" s="27" t="inlineStr"/>
      <c r="N153" s="29" t="inlineStr">
        <is>
          <t>Avtomatlashtirilmagan</t>
        </is>
      </c>
      <c r="O153" s="27" t="inlineStr"/>
      <c r="P153" s="29" t="inlineStr">
        <is>
          <t>Bajarilmagan</t>
        </is>
      </c>
      <c r="Q153" s="27" t="inlineStr"/>
    </row>
    <row r="154" ht="48" customHeight="1">
      <c r="A154" s="26" t="inlineStr">
        <is>
          <t>REP-008</t>
        </is>
      </c>
      <c r="B154" s="27" t="inlineStr">
        <is>
          <t>Hisobotlar</t>
        </is>
      </c>
      <c r="C154" s="27" t="inlineStr">
        <is>
          <t>Qarzdorlar</t>
        </is>
      </c>
      <c r="D154" s="28" t="inlineStr">
        <is>
          <t>Qarzdorlar hisoboti</t>
        </is>
      </c>
      <c r="E154" s="29" t="inlineStr">
        <is>
          <t>P2</t>
        </is>
      </c>
      <c r="F154" s="29" t="inlineStr">
        <is>
          <t>Functional</t>
        </is>
      </c>
      <c r="G154" s="27" t="inlineStr">
        <is>
          <t>Admin panelga test akkaunti bilan kirilgan (to'liq huquqlar)</t>
        </is>
      </c>
      <c r="H154" s="27" t="inlineStr">
        <is>
          <t>1. Qarzdorlar: sana, «Filtr», «Yuklab olish»</t>
        </is>
      </c>
      <c r="I154" s="27" t="inlineStr"/>
      <c r="J154" s="27" t="inlineStr">
        <is>
          <t>Omborlar bo'yicha summalar va holatlar bilan qarzdorlar; Excel = jadval</t>
        </is>
      </c>
      <c r="K154" s="27" t="inlineStr">
        <is>
          <t>PRD Debtors report</t>
        </is>
      </c>
      <c r="L154" s="29" t="inlineStr">
        <is>
          <t>Ha</t>
        </is>
      </c>
      <c r="M154" s="27" t="inlineStr"/>
      <c r="N154" s="29" t="inlineStr">
        <is>
          <t>Avtomatlashtirilmagan</t>
        </is>
      </c>
      <c r="O154" s="27" t="inlineStr"/>
      <c r="P154" s="29" t="inlineStr">
        <is>
          <t>Bajarilmagan</t>
        </is>
      </c>
      <c r="Q154" s="27" t="inlineStr"/>
    </row>
    <row r="155" ht="48" customHeight="1">
      <c r="A155" s="26" t="inlineStr">
        <is>
          <t>REP-009</t>
        </is>
      </c>
      <c r="B155" s="27" t="inlineStr">
        <is>
          <t>Hisobotlar</t>
        </is>
      </c>
      <c r="C155" s="27" t="inlineStr">
        <is>
          <t>Foydalanuvchi tarixi</t>
        </is>
      </c>
      <c r="D155" s="28" t="inlineStr">
        <is>
          <t>Foydalanuvchi tarixi</t>
        </is>
      </c>
      <c r="E155" s="29" t="inlineStr">
        <is>
          <t>P3</t>
        </is>
      </c>
      <c r="F155" s="29" t="inlineStr">
        <is>
          <t>Functional</t>
        </is>
      </c>
      <c r="G155" s="27" t="inlineStr">
        <is>
          <t>Admin panelga test akkaunti bilan kirilgan (to'liq huquqlar)</t>
        </is>
      </c>
      <c r="H155" s="27" t="inlineStr">
        <is>
          <t>1. Foydalanuvchi tarixi: sana, foydalanuvchi → «Filtr»</t>
        </is>
      </c>
      <c r="I155" s="27" t="inlineStr"/>
      <c r="J155" s="27" t="inlineStr">
        <is>
          <t>Tanlangan foydalanuvchining davr bo'yicha amallari</t>
        </is>
      </c>
      <c r="K155" s="27" t="inlineStr"/>
      <c r="L155" s="29" t="inlineStr">
        <is>
          <t>Ha</t>
        </is>
      </c>
      <c r="M155" s="27" t="inlineStr"/>
      <c r="N155" s="29" t="inlineStr">
        <is>
          <t>Avtomatlashtirilmagan</t>
        </is>
      </c>
      <c r="O155" s="27" t="inlineStr"/>
      <c r="P155" s="29" t="inlineStr">
        <is>
          <t>Bajarilmagan</t>
        </is>
      </c>
      <c r="Q155" s="27" t="inlineStr"/>
    </row>
    <row r="156" ht="48" customHeight="1">
      <c r="A156" s="26" t="inlineStr">
        <is>
          <t>REP-010</t>
        </is>
      </c>
      <c r="B156" s="27" t="inlineStr">
        <is>
          <t>Hisobotlar</t>
        </is>
      </c>
      <c r="C156" s="27" t="inlineStr">
        <is>
          <t>Kassa</t>
        </is>
      </c>
      <c r="D156" s="28" t="inlineStr">
        <is>
          <t>Kassa hisoboti</t>
        </is>
      </c>
      <c r="E156" s="29" t="inlineStr">
        <is>
          <t>P2</t>
        </is>
      </c>
      <c r="F156" s="29" t="inlineStr">
        <is>
          <t>Functional</t>
        </is>
      </c>
      <c r="G156" s="27" t="inlineStr">
        <is>
          <t>Admin panelga test akkaunti bilan kirilgan (to'liq huquqlar)</t>
        </is>
      </c>
      <c r="H156" s="27" t="inlineStr">
        <is>
          <t>1. Kassa hisoboti: davr, ombor → «Filtr»
2. «Yuklab olish»</t>
        </is>
      </c>
      <c r="I156" s="27" t="inlineStr"/>
      <c r="J156" s="27" t="inlineStr">
        <is>
          <t>To'lov turlari bo'yicha kirim, kutilayotgan/yakunlangan, hamyon amallari, omborlar bo'yicha savdo va qaytarishlar; «Information» hisobni tushuntiradi</t>
        </is>
      </c>
      <c r="K156" s="27" t="inlineStr"/>
      <c r="L156" s="29" t="inlineStr">
        <is>
          <t>Qisman</t>
        </is>
      </c>
      <c r="M156" s="27" t="inlineStr"/>
      <c r="N156" s="29" t="inlineStr">
        <is>
          <t>Avtomatlashtirilmagan</t>
        </is>
      </c>
      <c r="O156" s="27" t="inlineStr"/>
      <c r="P156" s="29" t="inlineStr">
        <is>
          <t>Bajarilmagan</t>
        </is>
      </c>
      <c r="Q156" s="27" t="inlineStr"/>
    </row>
    <row r="157" ht="76" customHeight="1">
      <c r="A157" s="30" t="inlineStr">
        <is>
          <t>E2E-001</t>
        </is>
      </c>
      <c r="B157" s="31" t="inlineStr">
        <is>
          <t>Admin ↔ vitrina stsenariylari</t>
        </is>
      </c>
      <c r="C157" s="31" t="inlineStr">
        <is>
          <t>Buyurtma</t>
        </is>
      </c>
      <c r="D157" s="32" t="inlineStr">
        <is>
          <t>Usta buyurtmasining to'liq sikli</t>
        </is>
      </c>
      <c r="E157" s="33" t="inlineStr">
        <is>
          <t>P1</t>
        </is>
      </c>
      <c r="F157" s="33" t="inlineStr">
        <is>
          <t>Integration</t>
        </is>
      </c>
      <c r="G157" s="31" t="inlineStr">
        <is>
          <t>Usta vitrinada, admin admin panelda</t>
        </is>
      </c>
      <c r="H157" s="31" t="inlineStr">
        <is>
          <t>1. Usta buyurtma beradi (naqd, ofis)
2. Admin: Yuborildi → Qabul qilindi → Bajarildi, to'lov «To'landi»
3. Usta «Mening buyurtmalarim» va «Ballar»ni tekshiradi</t>
        </is>
      </c>
      <c r="I157" s="31" t="inlineStr"/>
      <c r="J157" s="31" t="inlineStr">
        <is>
          <t>Statuslar sinxron; bajarilgach — «Yetkazildi», «To'landi», +1% ball; qoldiq chiqarilgan</t>
        </is>
      </c>
      <c r="K157" s="31" t="inlineStr"/>
      <c r="L157" s="33" t="inlineStr">
        <is>
          <t>Ha</t>
        </is>
      </c>
      <c r="M157" s="31" t="inlineStr"/>
      <c r="N157" s="33" t="inlineStr">
        <is>
          <t>Avtomatlashtirilmagan</t>
        </is>
      </c>
      <c r="O157" s="31" t="inlineStr"/>
      <c r="P157" s="33" t="inlineStr">
        <is>
          <t>Bajarilmagan</t>
        </is>
      </c>
      <c r="Q157" s="31" t="inlineStr"/>
    </row>
    <row r="158" ht="48" customHeight="1">
      <c r="A158" s="30" t="inlineStr">
        <is>
          <t>E2E-002</t>
        </is>
      </c>
      <c r="B158" s="31" t="inlineStr">
        <is>
          <t>Admin ↔ vitrina stsenariylari</t>
        </is>
      </c>
      <c r="C158" s="31" t="inlineStr">
        <is>
          <t>Qarz</t>
        </is>
      </c>
      <c r="D158" s="32" t="inlineStr">
        <is>
          <t>Qarzga buyurtmaning to'liq sikli</t>
        </is>
      </c>
      <c r="E158" s="33" t="inlineStr">
        <is>
          <t>P1</t>
        </is>
      </c>
      <c r="F158" s="33" t="inlineStr">
        <is>
          <t>Integration</t>
        </is>
      </c>
      <c r="G158" s="31" t="inlineStr">
        <is>
          <t>Admin ustaga limit ochgan</t>
        </is>
      </c>
      <c r="H158" s="31" t="inlineStr">
        <is>
          <t>1. Hamyon bilan buyurtma (N kun)
2. Admin: Bajarildi
3. Qarzni to'lash — yopish</t>
        </is>
      </c>
      <c r="I158" s="31" t="inlineStr"/>
      <c r="J158" s="31" t="inlineStr">
        <is>
          <t>Muddat = bajarilgan sana + N kun 17:00; qarz «Mening hamyonim»da; to'langach «To'landi»</t>
        </is>
      </c>
      <c r="K158" s="31" t="inlineStr"/>
      <c r="L158" s="33" t="inlineStr">
        <is>
          <t>Ha</t>
        </is>
      </c>
      <c r="M158" s="31" t="inlineStr"/>
      <c r="N158" s="33" t="inlineStr">
        <is>
          <t>Avtomatlashtirilmagan</t>
        </is>
      </c>
      <c r="O158" s="31" t="inlineStr"/>
      <c r="P158" s="33" t="inlineStr">
        <is>
          <t>Bajarilmagan</t>
        </is>
      </c>
      <c r="Q158" s="31" t="inlineStr"/>
    </row>
    <row r="159" ht="48" customHeight="1">
      <c r="A159" s="30" t="inlineStr">
        <is>
          <t>E2E-003</t>
        </is>
      </c>
      <c r="B159" s="31" t="inlineStr">
        <is>
          <t>Admin ↔ vitrina stsenariylari</t>
        </is>
      </c>
      <c r="C159" s="31" t="inlineStr">
        <is>
          <t>Narxlar</t>
        </is>
      </c>
      <c r="D159" s="32" t="inlineStr">
        <is>
          <t>Yangi narx va aksiya vitrinada ko'rinadi</t>
        </is>
      </c>
      <c r="E159" s="33" t="inlineStr">
        <is>
          <t>P1</t>
        </is>
      </c>
      <c r="F159" s="33" t="inlineStr">
        <is>
          <t>Integration</t>
        </is>
      </c>
      <c r="G159" s="31" t="inlineStr">
        <is>
          <t>Admin panelga test akkaunti bilan kirilgan (to'liq huquqlar)</t>
        </is>
      </c>
      <c r="H159" s="31" t="inlineStr">
        <is>
          <t>1. Narxni o'zgartirish ni nashr qilish
2. Faol aksiya yaratish
3. Vitrinani mijoz va usta sifatida tekshirish</t>
        </is>
      </c>
      <c r="I159" s="31" t="inlineStr"/>
      <c r="J159" s="31" t="inlineStr">
        <is>
          <t>Har bir rol o'z narxi va chegirmasini ko'radi</t>
        </is>
      </c>
      <c r="K159" s="31" t="inlineStr"/>
      <c r="L159" s="33" t="inlineStr">
        <is>
          <t>Ha</t>
        </is>
      </c>
      <c r="M159" s="31" t="inlineStr"/>
      <c r="N159" s="33" t="inlineStr">
        <is>
          <t>Avtomatlashtirilmagan</t>
        </is>
      </c>
      <c r="O159" s="31" t="inlineStr"/>
      <c r="P159" s="33" t="inlineStr">
        <is>
          <t>Bajarilmagan</t>
        </is>
      </c>
      <c r="Q159" s="31" t="inlineStr"/>
    </row>
    <row r="160" ht="34" customHeight="1">
      <c r="A160" s="30" t="inlineStr">
        <is>
          <t>E2E-004</t>
        </is>
      </c>
      <c r="B160" s="31" t="inlineStr">
        <is>
          <t>Admin ↔ vitrina stsenariylari</t>
        </is>
      </c>
      <c r="C160" s="31" t="inlineStr">
        <is>
          <t>Qoldiqlar</t>
        </is>
      </c>
      <c r="D160" s="32" t="inlineStr">
        <is>
          <t>Kirim → vitrinada mavjudlik</t>
        </is>
      </c>
      <c r="E160" s="33" t="inlineStr">
        <is>
          <t>P1</t>
        </is>
      </c>
      <c r="F160" s="33" t="inlineStr">
        <is>
          <t>Integration</t>
        </is>
      </c>
      <c r="G160" s="31" t="inlineStr">
        <is>
          <t>Qoldig'i nol variant</t>
        </is>
      </c>
      <c r="H160" s="31" t="inlineStr">
        <is>
          <t>1. Kirimni nashr qilish
2. Vitrinada mahsulotni ochish</t>
        </is>
      </c>
      <c r="I160" s="31" t="inlineStr"/>
      <c r="J160" s="31" t="inlineStr">
        <is>
          <t>Mahsulot mavjud, xarid tugmasi faol; «Bo'lsa olar edim» so'rovi yopilgan</t>
        </is>
      </c>
      <c r="K160" s="31" t="inlineStr"/>
      <c r="L160" s="33" t="inlineStr">
        <is>
          <t>Ha</t>
        </is>
      </c>
      <c r="M160" s="31" t="inlineStr"/>
      <c r="N160" s="33" t="inlineStr">
        <is>
          <t>Avtomatlashtirilmagan</t>
        </is>
      </c>
      <c r="O160" s="31" t="inlineStr"/>
      <c r="P160" s="33" t="inlineStr">
        <is>
          <t>Bajarilmagan</t>
        </is>
      </c>
      <c r="Q160" s="31" t="inlineStr"/>
    </row>
    <row r="161" ht="48" customHeight="1">
      <c r="A161" s="30" t="inlineStr">
        <is>
          <t>E2E-005</t>
        </is>
      </c>
      <c r="B161" s="31" t="inlineStr">
        <is>
          <t>Admin ↔ vitrina stsenariylari</t>
        </is>
      </c>
      <c r="C161" s="31" t="inlineStr">
        <is>
          <t>Maxsus buyurtma</t>
        </is>
      </c>
      <c r="D161" s="32" t="inlineStr">
        <is>
          <t>Sotuv oynasi → ustaning maxsus buyurtmasi → buyurtma</t>
        </is>
      </c>
      <c r="E161" s="33" t="inlineStr">
        <is>
          <t>P1</t>
        </is>
      </c>
      <c r="F161" s="33" t="inlineStr">
        <is>
          <t>Integration</t>
        </is>
      </c>
      <c r="G161" s="31" t="inlineStr">
        <is>
          <t>Admin panelga test akkaunti bilan kirilgan (to'liq huquqlar)</t>
        </is>
      </c>
      <c r="H161" s="31" t="inlineStr">
        <is>
          <t>1. Admin ustaga hujjat yuboradi
2. Usta tasdiqlaydi
3. Admin buyurtmani yuritadi</t>
        </is>
      </c>
      <c r="I161" s="31" t="inlineStr"/>
      <c r="J161" s="31" t="inlineStr">
        <is>
          <t>Bildirishnoma, hujjat «Yangi»da, tasdiqlangach ikkala tizimda buyurtma</t>
        </is>
      </c>
      <c r="K161" s="31" t="inlineStr"/>
      <c r="L161" s="33" t="inlineStr">
        <is>
          <t>Ha</t>
        </is>
      </c>
      <c r="M161" s="31" t="inlineStr"/>
      <c r="N161" s="33" t="inlineStr">
        <is>
          <t>Avtomatlashtirilmagan</t>
        </is>
      </c>
      <c r="O161" s="31" t="inlineStr"/>
      <c r="P161" s="33" t="inlineStr">
        <is>
          <t>Bajarilmagan</t>
        </is>
      </c>
      <c r="Q161" s="31" t="inlineStr"/>
    </row>
    <row r="162" ht="34" customHeight="1">
      <c r="A162" s="30" t="inlineStr">
        <is>
          <t>E2E-006</t>
        </is>
      </c>
      <c r="B162" s="31" t="inlineStr">
        <is>
          <t>Admin ↔ vitrina stsenariylari</t>
        </is>
      </c>
      <c r="C162" s="31" t="inlineStr">
        <is>
          <t>Qaytarish</t>
        </is>
      </c>
      <c r="D162" s="32" t="inlineStr">
        <is>
          <t>Usta buyurtmasi bo'yicha qaytarish</t>
        </is>
      </c>
      <c r="E162" s="33" t="inlineStr">
        <is>
          <t>P2</t>
        </is>
      </c>
      <c r="F162" s="33" t="inlineStr">
        <is>
          <t>Integration</t>
        </is>
      </c>
      <c r="G162" s="31" t="inlineStr">
        <is>
          <t>Ustaning bajarilgan buyurtmasi</t>
        </is>
      </c>
      <c r="H162" s="31" t="inlineStr">
        <is>
          <t>1. Admin hamyonga qaytarishni rasmiylashtiradi</t>
        </is>
      </c>
      <c r="I162" s="31" t="inlineStr"/>
      <c r="J162" s="31" t="inlineStr">
        <is>
          <t>Usta qaytarishni, hamyon tranzaksiyasini va chiqarilgan ballarni ko'radi</t>
        </is>
      </c>
      <c r="K162" s="31" t="inlineStr"/>
      <c r="L162" s="33" t="inlineStr">
        <is>
          <t>Ha</t>
        </is>
      </c>
      <c r="M162" s="31" t="inlineStr"/>
      <c r="N162" s="33" t="inlineStr">
        <is>
          <t>Avtomatlashtirilmagan</t>
        </is>
      </c>
      <c r="O162" s="31" t="inlineStr"/>
      <c r="P162" s="33" t="inlineStr">
        <is>
          <t>Bajarilmagan</t>
        </is>
      </c>
      <c r="Q162" s="31" t="inlineStr"/>
    </row>
    <row r="163" ht="48" customHeight="1">
      <c r="A163" s="26" t="inlineStr">
        <is>
          <t>GEN-001</t>
        </is>
      </c>
      <c r="B163" s="27" t="inlineStr">
        <is>
          <t>Interfeysning umumiy tekshiruvlari</t>
        </is>
      </c>
      <c r="C163" s="27" t="inlineStr">
        <is>
          <t>Jadvallar</t>
        </is>
      </c>
      <c r="D163" s="28" t="inlineStr">
        <is>
          <t>Sahifalash, sahifa hajmi, qidiruv</t>
        </is>
      </c>
      <c r="E163" s="29" t="inlineStr">
        <is>
          <t>P2</t>
        </is>
      </c>
      <c r="F163" s="29" t="inlineStr">
        <is>
          <t>Functional</t>
        </is>
      </c>
      <c r="G163" s="27" t="inlineStr">
        <is>
          <t>Admin panelga test akkaunti bilan kirilgan (to'liq huquqlar)</t>
        </is>
      </c>
      <c r="H163" s="27" t="inlineStr">
        <is>
          <t>1. 3–4 ta ro'yxatda sahifa va hajmni (10/20/50/100) o'zgartirish
2. Yuqoridagi qidiruv</t>
        </is>
      </c>
      <c r="I163" s="27" t="inlineStr"/>
      <c r="J163" s="27" t="inlineStr">
        <is>
          <t>Almashtirish ishlaydi, filtrlar saqlanadi</t>
        </is>
      </c>
      <c r="K163" s="27" t="inlineStr"/>
      <c r="L163" s="29" t="inlineStr">
        <is>
          <t>Ha</t>
        </is>
      </c>
      <c r="M163" s="27" t="inlineStr"/>
      <c r="N163" s="29" t="inlineStr">
        <is>
          <t>Avtomatlashtirilmagan</t>
        </is>
      </c>
      <c r="O163" s="27" t="inlineStr"/>
      <c r="P163" s="29" t="inlineStr">
        <is>
          <t>Bajarilmagan</t>
        </is>
      </c>
      <c r="Q163" s="27" t="inlineStr"/>
    </row>
    <row r="164" ht="48" customHeight="1">
      <c r="A164" s="26" t="inlineStr">
        <is>
          <t>GEN-002</t>
        </is>
      </c>
      <c r="B164" s="27" t="inlineStr">
        <is>
          <t>Interfeysning umumiy tekshiruvlari</t>
        </is>
      </c>
      <c r="C164" s="27" t="inlineStr">
        <is>
          <t>Excel</t>
        </is>
      </c>
      <c r="D164" s="28" t="inlineStr">
        <is>
          <t>Excel yuklab olish = jadval ma'lumotlari</t>
        </is>
      </c>
      <c r="E164" s="29" t="inlineStr">
        <is>
          <t>P2</t>
        </is>
      </c>
      <c r="F164" s="29" t="inlineStr">
        <is>
          <t>Functional</t>
        </is>
      </c>
      <c r="G164" s="27" t="inlineStr">
        <is>
          <t>Admin panelga test akkaunti bilan kirilgan (to'liq huquqlar)</t>
        </is>
      </c>
      <c r="H164" s="27" t="inlineStr">
        <is>
          <t>1. Foydalanuvchilar, Qarz cheklovi, Qarzdorlar, Bo'lsa olar edim da «Yuklab olish»</t>
        </is>
      </c>
      <c r="I164" s="27" t="inlineStr"/>
      <c r="J164" s="27" t="inlineStr">
        <is>
          <t>Fayl qator va ustunlari filtrlangan jadval bilan mos</t>
        </is>
      </c>
      <c r="K164" s="27" t="inlineStr"/>
      <c r="L164" s="29" t="inlineStr">
        <is>
          <t>Ha</t>
        </is>
      </c>
      <c r="M164" s="27" t="inlineStr"/>
      <c r="N164" s="29" t="inlineStr">
        <is>
          <t>Avtomatlashtirilmagan</t>
        </is>
      </c>
      <c r="O164" s="27" t="inlineStr"/>
      <c r="P164" s="29" t="inlineStr">
        <is>
          <t>Bajarilmagan</t>
        </is>
      </c>
      <c r="Q164" s="27" t="inlineStr"/>
    </row>
    <row r="165" ht="48" customHeight="1">
      <c r="A165" s="26" t="inlineStr">
        <is>
          <t>GEN-003</t>
        </is>
      </c>
      <c r="B165" s="27" t="inlineStr">
        <is>
          <t>Interfeysning umumiy tekshiruvlari</t>
        </is>
      </c>
      <c r="C165" s="27" t="inlineStr">
        <is>
          <t>Interfeys</t>
        </is>
      </c>
      <c r="D165" s="28" t="inlineStr">
        <is>
          <t>Menyuni yig'ish va navigatsiya</t>
        </is>
      </c>
      <c r="E165" s="29" t="inlineStr">
        <is>
          <t>P3</t>
        </is>
      </c>
      <c r="F165" s="29" t="inlineStr">
        <is>
          <t>UI</t>
        </is>
      </c>
      <c r="G165" s="27" t="inlineStr">
        <is>
          <t>Admin panelga test akkaunti bilan kirilgan (to'liq huquqlar)</t>
        </is>
      </c>
      <c r="H165" s="27" t="inlineStr">
        <is>
          <t>1. Menyuni yig'ish/yoyish
2. Barcha bandlardan o'tish</t>
        </is>
      </c>
      <c r="I165" s="27" t="inlineStr"/>
      <c r="J165" s="27" t="inlineStr">
        <is>
          <t>Barcha 57 sahifa xatosiz ochiladi; faol band ajratilgan</t>
        </is>
      </c>
      <c r="K165" s="27" t="inlineStr"/>
      <c r="L165" s="29" t="inlineStr">
        <is>
          <t>Ha</t>
        </is>
      </c>
      <c r="M165" s="27" t="inlineStr"/>
      <c r="N165" s="29" t="inlineStr">
        <is>
          <t>Avtomatlashtirilmagan</t>
        </is>
      </c>
      <c r="O165" s="27" t="inlineStr"/>
      <c r="P165" s="29" t="inlineStr">
        <is>
          <t>Bajarilmagan</t>
        </is>
      </c>
      <c r="Q165" s="27" t="inlineStr"/>
    </row>
    <row r="166" ht="48" customHeight="1">
      <c r="A166" s="26" t="inlineStr">
        <is>
          <t>GEN-004</t>
        </is>
      </c>
      <c r="B166" s="27" t="inlineStr">
        <is>
          <t>Interfeysning umumiy tekshiruvlari</t>
        </is>
      </c>
      <c r="C166" s="27" t="inlineStr">
        <is>
          <t>Barqarorlik</t>
        </is>
      </c>
      <c r="D166" s="28" t="inlineStr">
        <is>
          <t>Konsol xatolari va 5xx yo'q</t>
        </is>
      </c>
      <c r="E166" s="29" t="inlineStr">
        <is>
          <t>P2</t>
        </is>
      </c>
      <c r="F166" s="29" t="inlineStr">
        <is>
          <t>Technical</t>
        </is>
      </c>
      <c r="G166" s="27" t="inlineStr">
        <is>
          <t>Admin panelga test akkaunti bilan kirilgan (to'liq huquqlar)</t>
        </is>
      </c>
      <c r="H166" s="27" t="inlineStr">
        <is>
          <t>1. Barcha bo'limlardan o'tish</t>
        </is>
      </c>
      <c r="I166" s="27" t="inlineStr"/>
      <c r="J166" s="27" t="inlineStr">
        <is>
          <t>JS xatolari va 5xx javoblari yo'q</t>
        </is>
      </c>
      <c r="K166" s="27" t="inlineStr"/>
      <c r="L166" s="29" t="inlineStr">
        <is>
          <t>Ha</t>
        </is>
      </c>
      <c r="M166" s="27" t="inlineStr"/>
      <c r="N166" s="29" t="inlineStr">
        <is>
          <t>Avtomatlashtirilmagan</t>
        </is>
      </c>
      <c r="O166" s="27" t="inlineStr"/>
      <c r="P166" s="29" t="inlineStr">
        <is>
          <t>Bajarilmagan</t>
        </is>
      </c>
      <c r="Q166" s="27" t="inlineStr"/>
    </row>
    <row r="167" ht="48" customHeight="1">
      <c r="A167" s="26" t="inlineStr">
        <is>
          <t>GEN-005</t>
        </is>
      </c>
      <c r="B167" s="27" t="inlineStr">
        <is>
          <t>Interfeysning umumiy tekshiruvlari</t>
        </is>
      </c>
      <c r="C167" s="27" t="inlineStr">
        <is>
          <t>Lokalizatsiya</t>
        </is>
      </c>
      <c r="D167" s="28" t="inlineStr">
        <is>
          <t>Tilni almashtirish</t>
        </is>
      </c>
      <c r="E167" s="29" t="inlineStr">
        <is>
          <t>P3</t>
        </is>
      </c>
      <c r="F167" s="29" t="inlineStr">
        <is>
          <t>UI</t>
        </is>
      </c>
      <c r="G167" s="27" t="inlineStr">
        <is>
          <t>Admin panelga test akkaunti bilan kirilgan (to'liq huquqlar)</t>
        </is>
      </c>
      <c r="H167" s="27" t="inlineStr">
        <is>
          <t>1. Tilni almashtirish (UZ / RU / EN)</t>
        </is>
      </c>
      <c r="I167" s="27" t="inlineStr"/>
      <c r="J167" s="27" t="inlineStr">
        <is>
          <t>Interfeys almashadi; «xom» qiymatlar (free/blocked) va tillar aralashmasi yo'q</t>
        </is>
      </c>
      <c r="K167" s="27" t="inlineStr"/>
      <c r="L167" s="29" t="inlineStr">
        <is>
          <t>Ha</t>
        </is>
      </c>
      <c r="M167" s="27" t="inlineStr"/>
      <c r="N167" s="29" t="inlineStr">
        <is>
          <t>Avtomatlashtirilmagan</t>
        </is>
      </c>
      <c r="O167" s="27" t="inlineStr"/>
      <c r="P167" s="29" t="inlineStr">
        <is>
          <t>Bajarilmagan</t>
        </is>
      </c>
      <c r="Q167" s="27" t="inlineStr"/>
    </row>
  </sheetData>
  <autoFilter ref="A1:Q167"/>
  <conditionalFormatting sqref="E2:E167">
    <cfRule type="expression" priority="1" dxfId="2">
      <formula>$E2="P1"</formula>
    </cfRule>
    <cfRule type="expression" priority="2" dxfId="3">
      <formula>$E2="P2"</formula>
    </cfRule>
    <cfRule type="expression" priority="3" dxfId="4">
      <formula>$E2="P3"</formula>
    </cfRule>
  </conditionalFormatting>
  <conditionalFormatting sqref="L2:L167">
    <cfRule type="expression" priority="4" dxfId="5">
      <formula>$L2="Ha"</formula>
    </cfRule>
    <cfRule type="expression" priority="5" dxfId="6">
      <formula>$L2="Qisman"</formula>
    </cfRule>
    <cfRule type="expression" priority="6" dxfId="2">
      <formula>$L2="Yo'q"</formula>
    </cfRule>
  </conditionalFormatting>
  <conditionalFormatting sqref="N2:N167">
    <cfRule type="expression" priority="7" dxfId="7">
      <formula>$N2="Avtomatlashtirilgan"</formula>
    </cfRule>
    <cfRule type="expression" priority="8" dxfId="8">
      <formula>$N2="Qisman"</formula>
    </cfRule>
    <cfRule type="expression" priority="9" dxfId="9">
      <formula>$N2="Avtomatlashtirilmagan"</formula>
    </cfRule>
  </conditionalFormatting>
  <conditionalFormatting sqref="P2:P167">
    <cfRule type="expression" priority="10" dxfId="7">
      <formula>$P2="Passed"</formula>
    </cfRule>
    <cfRule type="expression" priority="11" dxfId="1">
      <formula>$P2="Failed"</formula>
    </cfRule>
    <cfRule type="expression" priority="12" dxfId="10">
      <formula>$P2="Blocked"</formula>
    </cfRule>
    <cfRule type="expression" priority="13" dxfId="4">
      <formula>$P2="Skipped"</formula>
    </cfRule>
  </conditionalFormatting>
  <dataValidations count="4">
    <dataValidation sqref="E2:E167" showDropDown="0" showInputMessage="0" showErrorMessage="0" allowBlank="1" type="list">
      <formula1>"P1,P2,P3"</formula1>
    </dataValidation>
    <dataValidation sqref="L2:L167" showDropDown="0" showInputMessage="0" showErrorMessage="0" allowBlank="1" type="list">
      <formula1>"Ha,Qisman,Yo'q"</formula1>
    </dataValidation>
    <dataValidation sqref="N2:N167" showDropDown="0" showInputMessage="0" showErrorMessage="0" allowBlank="1" type="list">
      <formula1>"Avtomatlashtirilgan,Qisman,Avtomatlashtirilmagan"</formula1>
    </dataValidation>
    <dataValidation sqref="P2:P167" showDropDown="0" showInputMessage="0" showErrorMessage="0" allowBlank="1" type="list">
      <formula1>"Bajarilmagan,Passed,Failed,Blocked,Skipped"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36" customWidth="1" min="4" max="4"/>
    <col width="12" customWidth="1" min="5" max="5"/>
    <col width="40" customWidth="1" min="6" max="6"/>
    <col width="14" customWidth="1" min="7" max="7"/>
  </cols>
  <sheetData>
    <row r="1">
      <c r="A1" s="9" t="inlineStr">
        <is>
          <t>№</t>
        </is>
      </c>
      <c r="B1" s="9" t="inlineStr">
        <is>
          <t>Kategoriya</t>
        </is>
      </c>
      <c r="C1" s="9" t="inlineStr">
        <is>
          <t>Tavsif</t>
        </is>
      </c>
      <c r="D1" s="9" t="inlineStr">
        <is>
          <t>Qayerda</t>
        </is>
      </c>
      <c r="E1" s="9" t="inlineStr">
        <is>
          <t>Jiddiylik</t>
        </is>
      </c>
      <c r="F1" s="9" t="inlineStr">
        <is>
          <t>Izoh</t>
        </is>
      </c>
      <c r="G1" s="9" t="inlineStr">
        <is>
          <t>Holat</t>
        </is>
      </c>
    </row>
    <row r="2" ht="30" customHeight="1">
      <c r="A2" s="33" t="n">
        <v>1</v>
      </c>
      <c r="B2" s="31" t="inlineStr">
        <is>
          <t>Ma'lumot</t>
        </is>
      </c>
      <c r="C2" s="31" t="inlineStr">
        <is>
          <t>«Qarz cheklovi»da oddiy B2C mijozlarga ham limit qo'yilgan (B2C, 300 000 000)</t>
        </is>
      </c>
      <c r="D2" s="31" t="inlineStr">
        <is>
          <t>/debt/debt-limit</t>
        </is>
      </c>
      <c r="E2" s="33" t="inlineStr">
        <is>
          <t>Medium</t>
        </is>
      </c>
      <c r="F2" s="31" t="inlineStr">
        <is>
          <t>PRD Mijoz rollari §6.7 da ham nosozlik deb ko'rsatilgan — tasdiqlash kerak</t>
        </is>
      </c>
      <c r="G2" s="33" t="inlineStr">
        <is>
          <t>Yangi</t>
        </is>
      </c>
    </row>
    <row r="3" ht="30" customHeight="1">
      <c r="A3" s="33" t="n">
        <v>2</v>
      </c>
      <c r="B3" s="31" t="inlineStr">
        <is>
          <t>Mantiq</t>
        </is>
      </c>
      <c r="C3" s="31" t="inlineStr">
        <is>
          <t>Bloklangan hamyon Hamyon bilan to'lovga to'sqinlik qilmaydi</t>
        </is>
      </c>
      <c r="D3" s="31" t="inlineStr">
        <is>
          <t>Checkout / Qarz cheklovi</t>
        </is>
      </c>
      <c r="E3" s="33" t="inlineStr">
        <is>
          <t>High</t>
        </is>
      </c>
      <c r="F3" s="31" t="inlineStr">
        <is>
          <t>PRD Debt Limit dagi kod tekshiruvi izohidan — staging da tekshirish kerak</t>
        </is>
      </c>
      <c r="G3" s="33" t="inlineStr">
        <is>
          <t>Yangi</t>
        </is>
      </c>
    </row>
    <row r="4" ht="30" customHeight="1">
      <c r="A4" s="33" t="n">
        <v>3</v>
      </c>
      <c r="B4" s="31" t="inlineStr">
        <is>
          <t>Lokalizatsiya</t>
        </is>
      </c>
      <c r="C4" s="31" t="inlineStr">
        <is>
          <t>Hamyon holati «free» / «blocked» ko'rinishida tarjimasiz</t>
        </is>
      </c>
      <c r="D4" s="31" t="inlineStr">
        <is>
          <t>Hamyon tranzaksiyalari, Hamyon</t>
        </is>
      </c>
      <c r="E4" s="33" t="inlineStr">
        <is>
          <t>Low</t>
        </is>
      </c>
      <c r="F4" s="31" t="inlineStr">
        <is>
          <t>PRD Wallet (kod tekshiruvi)</t>
        </is>
      </c>
      <c r="G4" s="33" t="inlineStr">
        <is>
          <t>Yangi</t>
        </is>
      </c>
    </row>
    <row r="5" ht="30" customHeight="1">
      <c r="A5" s="33" t="n">
        <v>4</v>
      </c>
      <c r="B5" s="31" t="inlineStr">
        <is>
          <t>Lokalizatsiya</t>
        </is>
      </c>
      <c r="C5" s="31" t="inlineStr">
        <is>
          <t>Omborlar nomlari turli tillarda (masalan «Урикзор Магазин №43»); UZ rejimida ham Kassa hisoboti tablari inglizcha</t>
        </is>
      </c>
      <c r="D5" s="31" t="inlineStr">
        <is>
          <t>Bosh sahifa, Mavsum, Kassa hisoboti</t>
        </is>
      </c>
      <c r="E5" s="33" t="inlineStr">
        <is>
          <t>Low</t>
        </is>
      </c>
      <c r="F5" s="31" t="inlineStr">
        <is>
          <t>28.10.2026 da UZ tilida tekshirilgan</t>
        </is>
      </c>
      <c r="G5" s="33" t="inlineStr">
        <is>
          <t>Yangi</t>
        </is>
      </c>
    </row>
    <row r="6" ht="30" customHeight="1">
      <c r="A6" s="33" t="n">
        <v>5</v>
      </c>
      <c r="B6" s="31" t="inlineStr">
        <is>
          <t>Ma'lumot</t>
        </is>
      </c>
      <c r="C6" s="31" t="inlineStr">
        <is>
          <t>Bekor qilingan #518191 buyurtmada bekor qilish sababi «abc»</t>
        </is>
      </c>
      <c r="D6" s="31" t="inlineStr">
        <is>
          <t>/orders/518191</t>
        </is>
      </c>
      <c r="E6" s="33" t="inlineStr">
        <is>
          <t>Info</t>
        </is>
      </c>
      <c r="F6" s="31" t="inlineStr">
        <is>
          <t>Matn qayerdan kelishini tekshirish</t>
        </is>
      </c>
      <c r="G6" s="33" t="inlineStr">
        <is>
          <t>Yangi</t>
        </is>
      </c>
    </row>
    <row r="7"/>
    <row r="8">
      <c r="B8" s="34" t="inlineStr">
        <is>
          <t>Kamchiliklar staging'ni usta akkaunti bilan o'rganishda topilgan (28.10.2026). Bag ochishdan oldin qayta tekshiring.</t>
        </is>
      </c>
    </row>
  </sheetData>
  <autoFilter ref="A1:G6"/>
  <conditionalFormatting sqref="E2:E6">
    <cfRule type="expression" priority="1" dxfId="3">
      <formula>$E2="Medium"</formula>
    </cfRule>
    <cfRule type="expression" priority="2" dxfId="6">
      <formula>$E2="Low"</formula>
    </cfRule>
    <cfRule type="expression" priority="3" dxfId="11">
      <formula>$E2="Info"</formula>
    </cfRule>
  </conditionalFormatting>
  <dataValidations count="1">
    <dataValidation sqref="G2:G6" showDropDown="0" showInputMessage="0" showErrorMessage="0" allowBlank="1" type="list">
      <formula1>"Yangi,Bag ochildi,Bag emas,Tuzatildi"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70" customWidth="1" min="3" max="3"/>
  </cols>
  <sheetData>
    <row r="1">
      <c r="A1" s="9" t="inlineStr">
        <is>
          <t>PRD / sahifa</t>
        </is>
      </c>
      <c r="B1" s="9" t="inlineStr">
        <is>
          <t>Nima haqida</t>
        </is>
      </c>
      <c r="C1" s="9" t="inlineStr">
        <is>
          <t>Havola</t>
        </is>
      </c>
    </row>
    <row r="2">
      <c r="A2" s="31" t="inlineStr">
        <is>
          <t>Папка логики админки (Confluence)</t>
        </is>
      </c>
      <c r="B2" s="31" t="inlineStr">
        <is>
          <t>1–15 bo'limlar</t>
        </is>
      </c>
      <c r="C2" s="35" t="inlineStr">
        <is>
          <t>https://arositdepartment.atlassian.net/wiki/spaces/~ArosMarket/folder/354385922</t>
        </is>
      </c>
    </row>
    <row r="3">
      <c r="A3" s="31" t="inlineStr">
        <is>
          <t>Admin Order List and Order Detail</t>
        </is>
      </c>
      <c r="B3" s="31" t="inlineStr">
        <is>
          <t>Buyurtmalar</t>
        </is>
      </c>
      <c r="C3" s="35" t="inlineStr">
        <is>
          <t>https://arositdepartment.atlassian.net/wiki/spaces/~ArosMarket/pages/333774849</t>
        </is>
      </c>
    </row>
    <row r="4">
      <c r="A4" s="31" t="inlineStr">
        <is>
          <t>Product Transfer / Transfer permission</t>
        </is>
      </c>
      <c r="B4" s="31" t="inlineStr">
        <is>
          <t>O'tkazmalar</t>
        </is>
      </c>
      <c r="C4" s="35" t="inlineStr">
        <is>
          <t>https://arositdepartment.atlassian.net/wiki/spaces/~ArosMarket/pages/304021505</t>
        </is>
      </c>
    </row>
    <row r="5">
      <c r="A5" s="31" t="inlineStr">
        <is>
          <t>Inventory PRD</t>
        </is>
      </c>
      <c r="B5" s="31" t="inlineStr">
        <is>
          <t>Inventarizatsiya</t>
        </is>
      </c>
      <c r="C5" s="35" t="inlineStr">
        <is>
          <t>https://arositdepartment.atlassian.net/wiki/spaces/~ArosMarket/pages/305135617</t>
        </is>
      </c>
    </row>
    <row r="6">
      <c r="A6" s="31" t="inlineStr">
        <is>
          <t>Product Income — Excel Import</t>
        </is>
      </c>
      <c r="B6" s="31" t="inlineStr">
        <is>
          <t>Kirim, Excel import</t>
        </is>
      </c>
      <c r="C6" s="35" t="inlineStr">
        <is>
          <t>https://arositdepartment.atlassian.net/wiki/spaces/~ArosMarket/pages/324861953</t>
        </is>
      </c>
    </row>
    <row r="7">
      <c r="A7" s="31" t="inlineStr">
        <is>
          <t>Kirim — qisman kelish</t>
        </is>
      </c>
      <c r="B7" s="31" t="inlineStr">
        <is>
          <t>Qisman qabul</t>
        </is>
      </c>
      <c r="C7" s="35" t="inlineStr">
        <is>
          <t>https://arositdepartment.atlassian.net/wiki/spaces/~ArosMarket/pages/376209409</t>
        </is>
      </c>
    </row>
    <row r="8">
      <c r="A8" s="31" t="inlineStr">
        <is>
          <t>Discount US1 / PRD</t>
        </is>
      </c>
      <c r="B8" s="31" t="inlineStr">
        <is>
          <t>Aksiyalar</t>
        </is>
      </c>
      <c r="C8" s="35" t="inlineStr">
        <is>
          <t>https://arositdepartment.atlassian.net/wiki/spaces/~ArosMarket/pages/154632194</t>
        </is>
      </c>
    </row>
    <row r="9">
      <c r="A9" s="31" t="inlineStr">
        <is>
          <t>Mijozga xos chegirma ko'rinishi</t>
        </is>
      </c>
      <c r="B9" s="31" t="inlineStr">
        <is>
          <t>Narx turi bo'yicha chegirmalar</t>
        </is>
      </c>
      <c r="C9" s="35" t="inlineStr">
        <is>
          <t>https://arositdepartment.atlassian.net/wiki/spaces/~ArosMarket/pages/377651202</t>
        </is>
      </c>
    </row>
    <row r="10">
      <c r="A10" s="31" t="inlineStr">
        <is>
          <t>Product &amp; Product Variant</t>
        </is>
      </c>
      <c r="B10" s="31" t="inlineStr">
        <is>
          <t>Mahsulotlar va variantlar</t>
        </is>
      </c>
      <c r="C10" s="35" t="inlineStr">
        <is>
          <t>https://arositdepartment.atlassian.net/wiki/spaces/~ArosMarket/pages/292356097</t>
        </is>
      </c>
    </row>
    <row r="11">
      <c r="A11" s="31" t="inlineStr">
        <is>
          <t>Sales window - PRD</t>
        </is>
      </c>
      <c r="B11" s="31" t="inlineStr">
        <is>
          <t>Sotuv oynasi</t>
        </is>
      </c>
      <c r="C11" s="35" t="inlineStr">
        <is>
          <t>https://arositdepartment.atlassian.net/wiki/spaces/~ArosMarket/pages/307167233</t>
        </is>
      </c>
    </row>
    <row r="12">
      <c r="A12" s="31" t="inlineStr">
        <is>
          <t>Product Return</t>
        </is>
      </c>
      <c r="B12" s="31" t="inlineStr">
        <is>
          <t>Qaytarishlar</t>
        </is>
      </c>
      <c r="C12" s="35" t="inlineStr">
        <is>
          <t>https://arositdepartment.atlassian.net/wiki/spaces/~ArosMarket/pages/298024961</t>
        </is>
      </c>
    </row>
    <row r="13">
      <c r="A13" s="31" t="inlineStr">
        <is>
          <t>Kassa</t>
        </is>
      </c>
      <c r="B13" s="31" t="inlineStr">
        <is>
          <t>Kassa</t>
        </is>
      </c>
      <c r="C13" s="35" t="inlineStr">
        <is>
          <t>https://arositdepartment.atlassian.net/wiki/spaces/~ArosMarket/pages/233537537</t>
        </is>
      </c>
    </row>
    <row r="14">
      <c r="A14" s="31" t="inlineStr">
        <is>
          <t>Mijoz rollari — narx turi</t>
        </is>
      </c>
      <c r="B14" s="31" t="inlineStr">
        <is>
          <t>Mijoz rollari</t>
        </is>
      </c>
      <c r="C14" s="35" t="inlineStr">
        <is>
          <t>https://arositdepartment.atlassian.net/wiki/spaces/~ArosMarket/pages/351404033</t>
        </is>
      </c>
    </row>
    <row r="15">
      <c r="A15" s="31" t="inlineStr">
        <is>
          <t>Debt Limit (B2B/B2M)</t>
        </is>
      </c>
      <c r="B15" s="31" t="inlineStr">
        <is>
          <t>Qarz limiti</t>
        </is>
      </c>
      <c r="C15" s="35" t="inlineStr">
        <is>
          <t>https://arositdepartment.atlassian.net/wiki/spaces/~ArosMarket/pages/305004559</t>
        </is>
      </c>
    </row>
    <row r="16">
      <c r="A16" s="31" t="inlineStr">
        <is>
          <t>Pay Debt</t>
        </is>
      </c>
      <c r="B16" s="31" t="inlineStr">
        <is>
          <t>Qarzni to'lash</t>
        </is>
      </c>
      <c r="C16" s="35" t="inlineStr">
        <is>
          <t>https://arositdepartment.atlassian.net/wiki/spaces/~ArosMarket/pages/292421633</t>
        </is>
      </c>
    </row>
    <row r="17">
      <c r="A17" s="31" t="inlineStr">
        <is>
          <t>Push Notification System</t>
        </is>
      </c>
      <c r="B17" s="31" t="inlineStr">
        <is>
          <t>Push</t>
        </is>
      </c>
      <c r="C17" s="35" t="inlineStr">
        <is>
          <t>https://arositdepartment.atlassian.net/wiki/spaces/~ArosMarket/pages/246349828</t>
        </is>
      </c>
    </row>
    <row r="18">
      <c r="A18" s="31" t="inlineStr">
        <is>
          <t>Roles and Permissions Module</t>
        </is>
      </c>
      <c r="B18" s="31" t="inlineStr">
        <is>
          <t>Ruxsatlar</t>
        </is>
      </c>
      <c r="C18" s="35" t="inlineStr">
        <is>
          <t>https://arositdepartment.atlassian.net/wiki/spaces/~ArosMarket/pages/243597313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2026-10-28T18:54:46Z</dcterms:created>
  <dcterms:modified xsi:type="dcterms:W3CDTF">2026-10-29T14:58:33Z</dcterms:modified>
</cp:coreProperties>
</file>