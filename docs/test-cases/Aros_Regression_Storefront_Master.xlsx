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ест-кейсы" sheetId="2" state="visible" r:id="rId2"/>
    <sheet name="Замечания" sheetId="3" state="visible" r:id="rId3"/>
    <sheet name="Источники" sheetId="4" state="visible" r:id="rId4"/>
    <sheet name="Доп. проверки (авто)" sheetId="5" state="visible" r:id="rId5"/>
  </sheets>
  <definedNames>
    <definedName name="_xlnm._FilterDatabase" localSheetId="1" hidden="1">'Тест-кейсы'!$A$1:$Q$197</definedName>
    <definedName name="_xlnm.Print_Titles" localSheetId="1">'Тест-кейсы'!$1:$1</definedName>
    <definedName name="_xlnm._FilterDatabase" localSheetId="2" hidden="1">'Замечания'!$A$1:$G$23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E7D32"/>
      <sz val="16"/>
    </font>
    <font>
      <name val="Arial"/>
      <i val="1"/>
      <color rgb="00616161"/>
      <sz val="10"/>
    </font>
    <font>
      <name val="Arial"/>
      <i val="1"/>
      <color rgb="009E9E9E"/>
      <sz val="9"/>
    </font>
    <font>
      <name val="Arial"/>
      <b val="1"/>
      <color rgb="002E7D32"/>
      <sz val="12"/>
    </font>
    <font>
      <name val="Arial"/>
      <i val="1"/>
      <color rgb="00616161"/>
      <sz val="9"/>
    </font>
    <font>
      <name val="Arial"/>
      <color rgb="001565C0"/>
      <sz val="10"/>
      <u val="single"/>
    </font>
    <font>
      <b val="1"/>
    </font>
  </fonts>
  <fills count="12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4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</font>
      <fill>
        <patternFill patternType="solid">
          <fgColor rgb="00EF9A9A"/>
          <bgColor rgb="00EF9A9A"/>
        </patternFill>
      </fill>
    </dxf>
    <dxf>
      <font>
        <name val="Arial"/>
        <b val="1"/>
        <color rgb="00B71C1C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E65100"/>
      </font>
      <fill>
        <patternFill patternType="solid">
          <fgColor rgb="00FFE0B2"/>
          <bgColor rgb="00FFE0B2"/>
        </patternFill>
      </fill>
    </dxf>
    <dxf>
      <font>
        <name val="Arial"/>
        <b val="1"/>
        <color rgb="00424242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F57F17"/>
      </font>
      <fill>
        <patternFill patternType="solid">
          <fgColor rgb="00FFF9C4"/>
          <bgColor rgb="00FFF9C4"/>
        </patternFill>
      </fill>
    </dxf>
    <dxf>
      <font>
        <name val="Arial"/>
        <b val="1"/>
        <color rgb="001B5E20"/>
      </font>
      <fill>
        <patternFill patternType="solid">
          <fgColor rgb="00A5D6A7"/>
          <bgColor rgb="00A5D6A7"/>
        </patternFill>
      </fill>
    </dxf>
    <dxf>
      <font>
        <name val="Arial"/>
        <b val="1"/>
        <color rgb="00F57F17"/>
      </font>
      <fill>
        <patternFill patternType="solid">
          <fgColor rgb="00FFF59D"/>
          <bgColor rgb="00FFF59D"/>
        </patternFill>
      </fill>
    </dxf>
    <dxf>
      <font>
        <name val="Arial"/>
        <color rgb="00616161"/>
      </font>
      <fill>
        <patternFill patternType="solid">
          <fgColor rgb="00EEEEEE"/>
          <bgColor rgb="00EEEEEE"/>
        </patternFill>
      </fill>
    </dxf>
    <dxf>
      <font>
        <name val="Arial"/>
        <b val="1"/>
        <color rgb="00E65100"/>
      </font>
      <fill>
        <patternFill patternType="solid">
          <fgColor rgb="00FFCC80"/>
          <bgColor rgb="00FFCC80"/>
        </patternFill>
      </fill>
    </dxf>
    <dxf>
      <font>
        <name val="Arial"/>
        <b val="1"/>
        <color rgb="000D47A1"/>
      </font>
      <fill>
        <patternFill patternType="solid">
          <fgColor rgb="00E3F2FD"/>
          <bgColor rgb="00E3F2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rositdepartment.atlassian.net/wiki/spaces/~ArosMarket/pages/354320395" TargetMode="External" Id="rId1" /><Relationship Type="http://schemas.openxmlformats.org/officeDocument/2006/relationships/hyperlink" Target="https://arositdepartment.atlassian.net/wiki/spaces/~ArosMarket/pages/305004559" TargetMode="External" Id="rId2" /><Relationship Type="http://schemas.openxmlformats.org/officeDocument/2006/relationships/hyperlink" Target="https://arositdepartment.atlassian.net/wiki/spaces/~ArosMarket/pages/346292227" TargetMode="External" Id="rId3" /><Relationship Type="http://schemas.openxmlformats.org/officeDocument/2006/relationships/hyperlink" Target="https://arositdepartment.atlassian.net/wiki/spaces/~ArosMarket/pages/292421633" TargetMode="External" Id="rId4" /><Relationship Type="http://schemas.openxmlformats.org/officeDocument/2006/relationships/hyperlink" Target="https://arositdepartment.atlassian.net/wiki/spaces/~ArosMarket/pages/324108289" TargetMode="External" Id="rId5" /><Relationship Type="http://schemas.openxmlformats.org/officeDocument/2006/relationships/hyperlink" Target="https://arositdepartment.atlassian.net/wiki/spaces/~ArosMarket/pages/354582529" TargetMode="External" Id="rId6" /><Relationship Type="http://schemas.openxmlformats.org/officeDocument/2006/relationships/hyperlink" Target="https://arositdepartment.atlassian.net/wiki/spaces/~ArosMarket/pages/317849606" TargetMode="External" Id="rId7" /><Relationship Type="http://schemas.openxmlformats.org/officeDocument/2006/relationships/hyperlink" Target="https://arositdepartment.atlassian.net/wiki/spaces/~ArosMarket/pages/340525071" TargetMode="External" Id="rId8" /><Relationship Type="http://schemas.openxmlformats.org/officeDocument/2006/relationships/hyperlink" Target="https://arositdepartment.atlassian.net/wiki/spaces/~ArosMarket/pages/319750146" TargetMode="External" Id="rId9" /><Relationship Type="http://schemas.openxmlformats.org/officeDocument/2006/relationships/hyperlink" Target="https://arositdepartment.atlassian.net/wiki/spaces/~ArosMarket/pages/330104833" TargetMode="External" Id="rId10" /><Relationship Type="http://schemas.openxmlformats.org/officeDocument/2006/relationships/hyperlink" Target="https://arositdepartment.atlassian.net/wiki/spaces/~ArosMarket/pages/298024961" TargetMode="External" Id="rId11" /><Relationship Type="http://schemas.openxmlformats.org/officeDocument/2006/relationships/hyperlink" Target="https://arositdepartment.atlassian.net/wiki/spaces/~ArosMarket/pages/307167233" TargetMode="External" Id="rId12" /><Relationship Type="http://schemas.openxmlformats.org/officeDocument/2006/relationships/hyperlink" Target="https://arositdepartment.atlassian.net/wiki/spaces/~ArosMarket/pages/351404033" TargetMode="External" Id="rId13" /><Relationship Type="http://schemas.openxmlformats.org/officeDocument/2006/relationships/hyperlink" Target="https://arositdepartment.atlassian.net/wiki/spaces/~ArosMarket/pages/282525697" TargetMode="External" Id="rId14" /><Relationship Type="http://schemas.openxmlformats.org/officeDocument/2006/relationships/hyperlink" Target="https://arositdepartment.atlassian.net/wiki/spaces/~ArosMarket/pages/233472001" TargetMode="External" Id="rId15" /><Relationship Type="http://schemas.openxmlformats.org/officeDocument/2006/relationships/hyperlink" Target="https://arositdepartment.atlassian.net/wiki/spaces/~ArosMarket/pages/277282818" TargetMode="External" Id="rId16" /><Relationship Type="http://schemas.openxmlformats.org/officeDocument/2006/relationships/hyperlink" Target="https://arositdepartment.atlassian.net/wiki/spaces/~ArosMarket/pages/233373697" TargetMode="External" Id="rId17" /><Relationship Type="http://schemas.openxmlformats.org/officeDocument/2006/relationships/hyperlink" Target="https://arositdepartment.atlassian.net/wiki/spaces/~ArosMarket/pages/324927496" TargetMode="External" Id="rId18" /><Relationship Type="http://schemas.openxmlformats.org/officeDocument/2006/relationships/hyperlink" Target="https://arositdepartment.atlassian.net/wiki/spaces/~ArosMarket/pages/361005057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12" customWidth="1" min="6" max="6"/>
    <col width="11" customWidth="1" min="7" max="7"/>
    <col width="9" customWidth="1" min="8" max="8"/>
    <col width="17" customWidth="1" min="9" max="9"/>
    <col width="13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>
      <c r="A1" s="1" t="inlineStr">
        <is>
          <t>Aros — регрессионные тест-кейсы витрины (роль: Мастер)</t>
        </is>
      </c>
    </row>
    <row r="2">
      <c r="A2" s="2" t="inlineStr">
        <is>
          <t>Клиентская часть сайта, UI. Сверено с PRD в Confluence и staging 28.10.2026. Админ-панель — отдельный набор.</t>
        </is>
      </c>
    </row>
    <row r="3"/>
    <row r="4">
      <c r="A4" s="3" t="inlineStr">
        <is>
          <t>Окружение</t>
        </is>
      </c>
      <c r="B4" s="4" t="inlineStr">
        <is>
          <t>https://staging.aros.uz/ru</t>
        </is>
      </c>
    </row>
    <row r="5">
      <c r="A5" s="3" t="inlineStr">
        <is>
          <t>Роль</t>
        </is>
      </c>
      <c r="B5" s="4" t="inlineStr">
        <is>
          <t>Мастер</t>
        </is>
      </c>
    </row>
    <row r="6">
      <c r="A6" s="3" t="inlineStr">
        <is>
          <t>Тестовый аккаунт</t>
        </is>
      </c>
      <c r="B6" s="4" t="inlineStr">
        <is>
          <t>Логин: +998998987882   Пароль: &lt;пароль в .env&gt; в .env&gt;</t>
        </is>
      </c>
    </row>
    <row r="7">
      <c r="A7" s="3" t="inlineStr">
        <is>
          <t>Документация</t>
        </is>
      </c>
      <c r="B7" s="4" t="inlineStr">
        <is>
          <t>Confluence → Aros Market (PRD); ссылки на листе «Источники»</t>
        </is>
      </c>
    </row>
    <row r="8">
      <c r="A8" s="3" t="inlineStr">
        <is>
          <t>Автотесты</t>
        </is>
      </c>
      <c r="B8" s="4" t="inlineStr">
        <is>
          <t>Репозиторий aros-ui: Java 21 + Playwright + JUnit5 + Allure</t>
        </is>
      </c>
    </row>
    <row r="9">
      <c r="A9" s="3" t="inlineStr">
        <is>
          <t>Релиз / версия</t>
        </is>
      </c>
      <c r="B9" s="5" t="inlineStr"/>
      <c r="C9" s="36" t="n"/>
      <c r="D9" s="36" t="n"/>
      <c r="E9" s="36" t="n"/>
      <c r="F9" s="36" t="n"/>
      <c r="G9" s="36" t="n"/>
      <c r="H9" s="37" t="n"/>
      <c r="J9" s="7" t="inlineStr">
        <is>
          <t>← жёлтые поля заполняются перед каждым прогоном</t>
        </is>
      </c>
    </row>
    <row r="10">
      <c r="A10" s="3" t="inlineStr">
        <is>
          <t>Дата прогона</t>
        </is>
      </c>
      <c r="B10" s="5" t="inlineStr"/>
      <c r="C10" s="36" t="n"/>
      <c r="D10" s="36" t="n"/>
      <c r="E10" s="36" t="n"/>
      <c r="F10" s="36" t="n"/>
      <c r="G10" s="36" t="n"/>
      <c r="H10" s="37" t="n"/>
    </row>
    <row r="11">
      <c r="A11" s="3" t="inlineStr">
        <is>
          <t>Тестировщик</t>
        </is>
      </c>
      <c r="B11" s="5" t="inlineStr"/>
      <c r="C11" s="36" t="n"/>
      <c r="D11" s="36" t="n"/>
      <c r="E11" s="36" t="n"/>
      <c r="F11" s="36" t="n"/>
      <c r="G11" s="36" t="n"/>
      <c r="H11" s="37" t="n"/>
    </row>
    <row r="12">
      <c r="A12" s="8" t="inlineStr">
        <is>
          <t>Покрытие по модулям</t>
        </is>
      </c>
    </row>
    <row r="13" ht="32" customHeight="1">
      <c r="A13" s="9" t="inlineStr">
        <is>
          <t>Модуль</t>
        </is>
      </c>
      <c r="B13" s="9" t="inlineStr">
        <is>
          <t>Всего</t>
        </is>
      </c>
      <c r="C13" s="9" t="inlineStr">
        <is>
          <t>P1</t>
        </is>
      </c>
      <c r="D13" s="9" t="inlineStr">
        <is>
          <t>P2</t>
        </is>
      </c>
      <c r="E13" s="9" t="inlineStr">
        <is>
          <t>P3</t>
        </is>
      </c>
      <c r="F13" s="9" t="inlineStr">
        <is>
          <t>Можно авто: Да</t>
        </is>
      </c>
      <c r="G13" s="9" t="inlineStr">
        <is>
          <t>Частично</t>
        </is>
      </c>
      <c r="H13" s="9" t="inlineStr">
        <is>
          <t>Нет</t>
        </is>
      </c>
      <c r="I13" s="9" t="inlineStr">
        <is>
          <t>Автоматизировано</t>
        </is>
      </c>
      <c r="J13" s="9" t="inlineStr">
        <is>
          <t>% покрытия автотестами</t>
        </is>
      </c>
      <c r="K13" s="9" t="inlineStr">
        <is>
          <t>Passed</t>
        </is>
      </c>
      <c r="L13" s="9" t="inlineStr">
        <is>
          <t>Failed</t>
        </is>
      </c>
      <c r="M13" s="9" t="inlineStr">
        <is>
          <t>Blocked</t>
        </is>
      </c>
      <c r="N13" s="9" t="inlineStr">
        <is>
          <t>Skipped</t>
        </is>
      </c>
      <c r="O13" s="9" t="inlineStr">
        <is>
          <t>Не выполнен</t>
        </is>
      </c>
    </row>
    <row r="14">
      <c r="A14" s="10" t="inlineStr">
        <is>
          <t>AUTH — Авторизация и сессия</t>
        </is>
      </c>
      <c r="B14" s="11">
        <f>COUNTIF('Тест-кейсы'!$B$2:$B$197,"Авторизация и сессия")</f>
        <v/>
      </c>
      <c r="C14" s="11">
        <f>COUNTIFS('Тест-кейсы'!$B$2:$B$197,"Авторизация и сессия",'Тест-кейсы'!$E$2:$E$197,"P1")</f>
        <v/>
      </c>
      <c r="D14" s="11">
        <f>COUNTIFS('Тест-кейсы'!$B$2:$B$197,"Авторизация и сессия",'Тест-кейсы'!$E$2:$E$197,"P2")</f>
        <v/>
      </c>
      <c r="E14" s="11">
        <f>COUNTIFS('Тест-кейсы'!$B$2:$B$197,"Авторизация и сессия",'Тест-кейсы'!$E$2:$E$197,"P3")</f>
        <v/>
      </c>
      <c r="F14" s="11">
        <f>COUNTIFS('Тест-кейсы'!$B$2:$B$197,"Авторизация и сессия",'Тест-кейсы'!$L$2:$L$197,"Да")</f>
        <v/>
      </c>
      <c r="G14" s="11">
        <f>COUNTIFS('Тест-кейсы'!$B$2:$B$197,"Авторизация и сессия",'Тест-кейсы'!$L$2:$L$197,"Частично")</f>
        <v/>
      </c>
      <c r="H14" s="11">
        <f>COUNTIFS('Тест-кейсы'!$B$2:$B$197,"Авторизация и сессия",'Тест-кейсы'!$L$2:$L$197,"Нет")</f>
        <v/>
      </c>
      <c r="I14" s="11">
        <f>COUNTIFS('Тест-кейсы'!$B$2:$B$197,"Авторизация и сессия",'Тест-кейсы'!$N$2:$N$197,"Автоматизирован")</f>
        <v/>
      </c>
      <c r="J14" s="12">
        <f>IF(B14=0,0,I14/B14)</f>
        <v/>
      </c>
      <c r="K14" s="11">
        <f>COUNTIFS('Тест-кейсы'!$B$2:$B$197,"Авторизация и сессия",'Тест-кейсы'!$P$2:$P$197,"Passed")</f>
        <v/>
      </c>
      <c r="L14" s="11">
        <f>COUNTIFS('Тест-кейсы'!$B$2:$B$197,"Авторизация и сессия",'Тест-кейсы'!$P$2:$P$197,"Failed")</f>
        <v/>
      </c>
      <c r="M14" s="11">
        <f>COUNTIFS('Тест-кейсы'!$B$2:$B$197,"Авторизация и сессия",'Тест-кейсы'!$P$2:$P$197,"Blocked")</f>
        <v/>
      </c>
      <c r="N14" s="11">
        <f>COUNTIFS('Тест-кейсы'!$B$2:$B$197,"Авторизация и сессия",'Тест-кейсы'!$P$2:$P$197,"Skipped")</f>
        <v/>
      </c>
      <c r="O14" s="11">
        <f>COUNTIFS('Тест-кейсы'!$B$2:$B$197,"Авторизация и сессия",'Тест-кейсы'!$P$2:$P$197,"Не выполнен")</f>
        <v/>
      </c>
    </row>
    <row r="15">
      <c r="A15" s="13" t="inlineStr">
        <is>
          <t>HDR — Шапка, футер и навигация</t>
        </is>
      </c>
      <c r="B15" s="14">
        <f>COUNTIF('Тест-кейсы'!$B$2:$B$197,"Шапка, футер и навигация")</f>
        <v/>
      </c>
      <c r="C15" s="14">
        <f>COUNTIFS('Тест-кейсы'!$B$2:$B$197,"Шапка, футер и навигация",'Тест-кейсы'!$E$2:$E$197,"P1")</f>
        <v/>
      </c>
      <c r="D15" s="14">
        <f>COUNTIFS('Тест-кейсы'!$B$2:$B$197,"Шапка, футер и навигация",'Тест-кейсы'!$E$2:$E$197,"P2")</f>
        <v/>
      </c>
      <c r="E15" s="14">
        <f>COUNTIFS('Тест-кейсы'!$B$2:$B$197,"Шапка, футер и навигация",'Тест-кейсы'!$E$2:$E$197,"P3")</f>
        <v/>
      </c>
      <c r="F15" s="14">
        <f>COUNTIFS('Тест-кейсы'!$B$2:$B$197,"Шапка, футер и навигация",'Тест-кейсы'!$L$2:$L$197,"Да")</f>
        <v/>
      </c>
      <c r="G15" s="14">
        <f>COUNTIFS('Тест-кейсы'!$B$2:$B$197,"Шапка, футер и навигация",'Тест-кейсы'!$L$2:$L$197,"Частично")</f>
        <v/>
      </c>
      <c r="H15" s="14">
        <f>COUNTIFS('Тест-кейсы'!$B$2:$B$197,"Шапка, футер и навигация",'Тест-кейсы'!$L$2:$L$197,"Нет")</f>
        <v/>
      </c>
      <c r="I15" s="14">
        <f>COUNTIFS('Тест-кейсы'!$B$2:$B$197,"Шапка, футер и навигация",'Тест-кейсы'!$N$2:$N$197,"Автоматизирован")</f>
        <v/>
      </c>
      <c r="J15" s="15">
        <f>IF(B15=0,0,I15/B15)</f>
        <v/>
      </c>
      <c r="K15" s="14">
        <f>COUNTIFS('Тест-кейсы'!$B$2:$B$197,"Шапка, футер и навигация",'Тест-кейсы'!$P$2:$P$197,"Passed")</f>
        <v/>
      </c>
      <c r="L15" s="14">
        <f>COUNTIFS('Тест-кейсы'!$B$2:$B$197,"Шапка, футер и навигация",'Тест-кейсы'!$P$2:$P$197,"Failed")</f>
        <v/>
      </c>
      <c r="M15" s="14">
        <f>COUNTIFS('Тест-кейсы'!$B$2:$B$197,"Шапка, футер и навигация",'Тест-кейсы'!$P$2:$P$197,"Blocked")</f>
        <v/>
      </c>
      <c r="N15" s="14">
        <f>COUNTIFS('Тест-кейсы'!$B$2:$B$197,"Шапка, футер и навигация",'Тест-кейсы'!$P$2:$P$197,"Skipped")</f>
        <v/>
      </c>
      <c r="O15" s="14">
        <f>COUNTIFS('Тест-кейсы'!$B$2:$B$197,"Шапка, футер и навигация",'Тест-кейсы'!$P$2:$P$197,"Не выполнен")</f>
        <v/>
      </c>
    </row>
    <row r="16">
      <c r="A16" s="10" t="inlineStr">
        <is>
          <t>HOME — Главная страница</t>
        </is>
      </c>
      <c r="B16" s="11">
        <f>COUNTIF('Тест-кейсы'!$B$2:$B$197,"Главная страница")</f>
        <v/>
      </c>
      <c r="C16" s="11">
        <f>COUNTIFS('Тест-кейсы'!$B$2:$B$197,"Главная страница",'Тест-кейсы'!$E$2:$E$197,"P1")</f>
        <v/>
      </c>
      <c r="D16" s="11">
        <f>COUNTIFS('Тест-кейсы'!$B$2:$B$197,"Главная страница",'Тест-кейсы'!$E$2:$E$197,"P2")</f>
        <v/>
      </c>
      <c r="E16" s="11">
        <f>COUNTIFS('Тест-кейсы'!$B$2:$B$197,"Главная страница",'Тест-кейсы'!$E$2:$E$197,"P3")</f>
        <v/>
      </c>
      <c r="F16" s="11">
        <f>COUNTIFS('Тест-кейсы'!$B$2:$B$197,"Главная страница",'Тест-кейсы'!$L$2:$L$197,"Да")</f>
        <v/>
      </c>
      <c r="G16" s="11">
        <f>COUNTIFS('Тест-кейсы'!$B$2:$B$197,"Главная страница",'Тест-кейсы'!$L$2:$L$197,"Частично")</f>
        <v/>
      </c>
      <c r="H16" s="11">
        <f>COUNTIFS('Тест-кейсы'!$B$2:$B$197,"Главная страница",'Тест-кейсы'!$L$2:$L$197,"Нет")</f>
        <v/>
      </c>
      <c r="I16" s="11">
        <f>COUNTIFS('Тест-кейсы'!$B$2:$B$197,"Главная страница",'Тест-кейсы'!$N$2:$N$197,"Автоматизирован")</f>
        <v/>
      </c>
      <c r="J16" s="12">
        <f>IF(B16=0,0,I16/B16)</f>
        <v/>
      </c>
      <c r="K16" s="11">
        <f>COUNTIFS('Тест-кейсы'!$B$2:$B$197,"Главная страница",'Тест-кейсы'!$P$2:$P$197,"Passed")</f>
        <v/>
      </c>
      <c r="L16" s="11">
        <f>COUNTIFS('Тест-кейсы'!$B$2:$B$197,"Главная страница",'Тест-кейсы'!$P$2:$P$197,"Failed")</f>
        <v/>
      </c>
      <c r="M16" s="11">
        <f>COUNTIFS('Тест-кейсы'!$B$2:$B$197,"Главная страница",'Тест-кейсы'!$P$2:$P$197,"Blocked")</f>
        <v/>
      </c>
      <c r="N16" s="11">
        <f>COUNTIFS('Тест-кейсы'!$B$2:$B$197,"Главная страница",'Тест-кейсы'!$P$2:$P$197,"Skipped")</f>
        <v/>
      </c>
      <c r="O16" s="11">
        <f>COUNTIFS('Тест-кейсы'!$B$2:$B$197,"Главная страница",'Тест-кейсы'!$P$2:$P$197,"Не выполнен")</f>
        <v/>
      </c>
    </row>
    <row r="17">
      <c r="A17" s="13" t="inlineStr">
        <is>
          <t>CAT — Каталог, категории и фильтры</t>
        </is>
      </c>
      <c r="B17" s="14">
        <f>COUNTIF('Тест-кейсы'!$B$2:$B$197,"Каталог, категории и фильтры")</f>
        <v/>
      </c>
      <c r="C17" s="14">
        <f>COUNTIFS('Тест-кейсы'!$B$2:$B$197,"Каталог, категории и фильтры",'Тест-кейсы'!$E$2:$E$197,"P1")</f>
        <v/>
      </c>
      <c r="D17" s="14">
        <f>COUNTIFS('Тест-кейсы'!$B$2:$B$197,"Каталог, категории и фильтры",'Тест-кейсы'!$E$2:$E$197,"P2")</f>
        <v/>
      </c>
      <c r="E17" s="14">
        <f>COUNTIFS('Тест-кейсы'!$B$2:$B$197,"Каталог, категории и фильтры",'Тест-кейсы'!$E$2:$E$197,"P3")</f>
        <v/>
      </c>
      <c r="F17" s="14">
        <f>COUNTIFS('Тест-кейсы'!$B$2:$B$197,"Каталог, категории и фильтры",'Тест-кейсы'!$L$2:$L$197,"Да")</f>
        <v/>
      </c>
      <c r="G17" s="14">
        <f>COUNTIFS('Тест-кейсы'!$B$2:$B$197,"Каталог, категории и фильтры",'Тест-кейсы'!$L$2:$L$197,"Частично")</f>
        <v/>
      </c>
      <c r="H17" s="14">
        <f>COUNTIFS('Тест-кейсы'!$B$2:$B$197,"Каталог, категории и фильтры",'Тест-кейсы'!$L$2:$L$197,"Нет")</f>
        <v/>
      </c>
      <c r="I17" s="14">
        <f>COUNTIFS('Тест-кейсы'!$B$2:$B$197,"Каталог, категории и фильтры",'Тест-кейсы'!$N$2:$N$197,"Автоматизирован")</f>
        <v/>
      </c>
      <c r="J17" s="15">
        <f>IF(B17=0,0,I17/B17)</f>
        <v/>
      </c>
      <c r="K17" s="14">
        <f>COUNTIFS('Тест-кейсы'!$B$2:$B$197,"Каталог, категории и фильтры",'Тест-кейсы'!$P$2:$P$197,"Passed")</f>
        <v/>
      </c>
      <c r="L17" s="14">
        <f>COUNTIFS('Тест-кейсы'!$B$2:$B$197,"Каталог, категории и фильтры",'Тест-кейсы'!$P$2:$P$197,"Failed")</f>
        <v/>
      </c>
      <c r="M17" s="14">
        <f>COUNTIFS('Тест-кейсы'!$B$2:$B$197,"Каталог, категории и фильтры",'Тест-кейсы'!$P$2:$P$197,"Blocked")</f>
        <v/>
      </c>
      <c r="N17" s="14">
        <f>COUNTIFS('Тест-кейсы'!$B$2:$B$197,"Каталог, категории и фильтры",'Тест-кейсы'!$P$2:$P$197,"Skipped")</f>
        <v/>
      </c>
      <c r="O17" s="14">
        <f>COUNTIFS('Тест-кейсы'!$B$2:$B$197,"Каталог, категории и фильтры",'Тест-кейсы'!$P$2:$P$197,"Не выполнен")</f>
        <v/>
      </c>
    </row>
    <row r="18">
      <c r="A18" s="10" t="inlineStr">
        <is>
          <t>MDL — Подбор по модели устройства</t>
        </is>
      </c>
      <c r="B18" s="11">
        <f>COUNTIF('Тест-кейсы'!$B$2:$B$197,"Подбор по модели устройства")</f>
        <v/>
      </c>
      <c r="C18" s="11">
        <f>COUNTIFS('Тест-кейсы'!$B$2:$B$197,"Подбор по модели устройства",'Тест-кейсы'!$E$2:$E$197,"P1")</f>
        <v/>
      </c>
      <c r="D18" s="11">
        <f>COUNTIFS('Тест-кейсы'!$B$2:$B$197,"Подбор по модели устройства",'Тест-кейсы'!$E$2:$E$197,"P2")</f>
        <v/>
      </c>
      <c r="E18" s="11">
        <f>COUNTIFS('Тест-кейсы'!$B$2:$B$197,"Подбор по модели устройства",'Тест-кейсы'!$E$2:$E$197,"P3")</f>
        <v/>
      </c>
      <c r="F18" s="11">
        <f>COUNTIFS('Тест-кейсы'!$B$2:$B$197,"Подбор по модели устройства",'Тест-кейсы'!$L$2:$L$197,"Да")</f>
        <v/>
      </c>
      <c r="G18" s="11">
        <f>COUNTIFS('Тест-кейсы'!$B$2:$B$197,"Подбор по модели устройства",'Тест-кейсы'!$L$2:$L$197,"Частично")</f>
        <v/>
      </c>
      <c r="H18" s="11">
        <f>COUNTIFS('Тест-кейсы'!$B$2:$B$197,"Подбор по модели устройства",'Тест-кейсы'!$L$2:$L$197,"Нет")</f>
        <v/>
      </c>
      <c r="I18" s="11">
        <f>COUNTIFS('Тест-кейсы'!$B$2:$B$197,"Подбор по модели устройства",'Тест-кейсы'!$N$2:$N$197,"Автоматизирован")</f>
        <v/>
      </c>
      <c r="J18" s="12">
        <f>IF(B18=0,0,I18/B18)</f>
        <v/>
      </c>
      <c r="K18" s="11">
        <f>COUNTIFS('Тест-кейсы'!$B$2:$B$197,"Подбор по модели устройства",'Тест-кейсы'!$P$2:$P$197,"Passed")</f>
        <v/>
      </c>
      <c r="L18" s="11">
        <f>COUNTIFS('Тест-кейсы'!$B$2:$B$197,"Подбор по модели устройства",'Тест-кейсы'!$P$2:$P$197,"Failed")</f>
        <v/>
      </c>
      <c r="M18" s="11">
        <f>COUNTIFS('Тест-кейсы'!$B$2:$B$197,"Подбор по модели устройства",'Тест-кейсы'!$P$2:$P$197,"Blocked")</f>
        <v/>
      </c>
      <c r="N18" s="11">
        <f>COUNTIFS('Тест-кейсы'!$B$2:$B$197,"Подбор по модели устройства",'Тест-кейсы'!$P$2:$P$197,"Skipped")</f>
        <v/>
      </c>
      <c r="O18" s="11">
        <f>COUNTIFS('Тест-кейсы'!$B$2:$B$197,"Подбор по модели устройства",'Тест-кейсы'!$P$2:$P$197,"Не выполнен")</f>
        <v/>
      </c>
    </row>
    <row r="19">
      <c r="A19" s="13" t="inlineStr">
        <is>
          <t>SRCH — Поиск</t>
        </is>
      </c>
      <c r="B19" s="14">
        <f>COUNTIF('Тест-кейсы'!$B$2:$B$197,"Поиск")</f>
        <v/>
      </c>
      <c r="C19" s="14">
        <f>COUNTIFS('Тест-кейсы'!$B$2:$B$197,"Поиск",'Тест-кейсы'!$E$2:$E$197,"P1")</f>
        <v/>
      </c>
      <c r="D19" s="14">
        <f>COUNTIFS('Тест-кейсы'!$B$2:$B$197,"Поиск",'Тест-кейсы'!$E$2:$E$197,"P2")</f>
        <v/>
      </c>
      <c r="E19" s="14">
        <f>COUNTIFS('Тест-кейсы'!$B$2:$B$197,"Поиск",'Тест-кейсы'!$E$2:$E$197,"P3")</f>
        <v/>
      </c>
      <c r="F19" s="14">
        <f>COUNTIFS('Тест-кейсы'!$B$2:$B$197,"Поиск",'Тест-кейсы'!$L$2:$L$197,"Да")</f>
        <v/>
      </c>
      <c r="G19" s="14">
        <f>COUNTIFS('Тест-кейсы'!$B$2:$B$197,"Поиск",'Тест-кейсы'!$L$2:$L$197,"Частично")</f>
        <v/>
      </c>
      <c r="H19" s="14">
        <f>COUNTIFS('Тест-кейсы'!$B$2:$B$197,"Поиск",'Тест-кейсы'!$L$2:$L$197,"Нет")</f>
        <v/>
      </c>
      <c r="I19" s="14">
        <f>COUNTIFS('Тест-кейсы'!$B$2:$B$197,"Поиск",'Тест-кейсы'!$N$2:$N$197,"Автоматизирован")</f>
        <v/>
      </c>
      <c r="J19" s="15">
        <f>IF(B19=0,0,I19/B19)</f>
        <v/>
      </c>
      <c r="K19" s="14">
        <f>COUNTIFS('Тест-кейсы'!$B$2:$B$197,"Поиск",'Тест-кейсы'!$P$2:$P$197,"Passed")</f>
        <v/>
      </c>
      <c r="L19" s="14">
        <f>COUNTIFS('Тест-кейсы'!$B$2:$B$197,"Поиск",'Тест-кейсы'!$P$2:$P$197,"Failed")</f>
        <v/>
      </c>
      <c r="M19" s="14">
        <f>COUNTIFS('Тест-кейсы'!$B$2:$B$197,"Поиск",'Тест-кейсы'!$P$2:$P$197,"Blocked")</f>
        <v/>
      </c>
      <c r="N19" s="14">
        <f>COUNTIFS('Тест-кейсы'!$B$2:$B$197,"Поиск",'Тест-кейсы'!$P$2:$P$197,"Skipped")</f>
        <v/>
      </c>
      <c r="O19" s="14">
        <f>COUNTIFS('Тест-кейсы'!$B$2:$B$197,"Поиск",'Тест-кейсы'!$P$2:$P$197,"Не выполнен")</f>
        <v/>
      </c>
    </row>
    <row r="20">
      <c r="A20" s="10" t="inlineStr">
        <is>
          <t>PDP — Карточка товара</t>
        </is>
      </c>
      <c r="B20" s="11">
        <f>COUNTIF('Тест-кейсы'!$B$2:$B$197,"Карточка товара")</f>
        <v/>
      </c>
      <c r="C20" s="11">
        <f>COUNTIFS('Тест-кейсы'!$B$2:$B$197,"Карточка товара",'Тест-кейсы'!$E$2:$E$197,"P1")</f>
        <v/>
      </c>
      <c r="D20" s="11">
        <f>COUNTIFS('Тест-кейсы'!$B$2:$B$197,"Карточка товара",'Тест-кейсы'!$E$2:$E$197,"P2")</f>
        <v/>
      </c>
      <c r="E20" s="11">
        <f>COUNTIFS('Тест-кейсы'!$B$2:$B$197,"Карточка товара",'Тест-кейсы'!$E$2:$E$197,"P3")</f>
        <v/>
      </c>
      <c r="F20" s="11">
        <f>COUNTIFS('Тест-кейсы'!$B$2:$B$197,"Карточка товара",'Тест-кейсы'!$L$2:$L$197,"Да")</f>
        <v/>
      </c>
      <c r="G20" s="11">
        <f>COUNTIFS('Тест-кейсы'!$B$2:$B$197,"Карточка товара",'Тест-кейсы'!$L$2:$L$197,"Частично")</f>
        <v/>
      </c>
      <c r="H20" s="11">
        <f>COUNTIFS('Тест-кейсы'!$B$2:$B$197,"Карточка товара",'Тест-кейсы'!$L$2:$L$197,"Нет")</f>
        <v/>
      </c>
      <c r="I20" s="11">
        <f>COUNTIFS('Тест-кейсы'!$B$2:$B$197,"Карточка товара",'Тест-кейсы'!$N$2:$N$197,"Автоматизирован")</f>
        <v/>
      </c>
      <c r="J20" s="12">
        <f>IF(B20=0,0,I20/B20)</f>
        <v/>
      </c>
      <c r="K20" s="11">
        <f>COUNTIFS('Тест-кейсы'!$B$2:$B$197,"Карточка товара",'Тест-кейсы'!$P$2:$P$197,"Passed")</f>
        <v/>
      </c>
      <c r="L20" s="11">
        <f>COUNTIFS('Тест-кейсы'!$B$2:$B$197,"Карточка товара",'Тест-кейсы'!$P$2:$P$197,"Failed")</f>
        <v/>
      </c>
      <c r="M20" s="11">
        <f>COUNTIFS('Тест-кейсы'!$B$2:$B$197,"Карточка товара",'Тест-кейсы'!$P$2:$P$197,"Blocked")</f>
        <v/>
      </c>
      <c r="N20" s="11">
        <f>COUNTIFS('Тест-кейсы'!$B$2:$B$197,"Карточка товара",'Тест-кейсы'!$P$2:$P$197,"Skipped")</f>
        <v/>
      </c>
      <c r="O20" s="11">
        <f>COUNTIFS('Тест-кейсы'!$B$2:$B$197,"Карточка товара",'Тест-кейсы'!$P$2:$P$197,"Не выполнен")</f>
        <v/>
      </c>
    </row>
    <row r="21">
      <c r="A21" s="13" t="inlineStr">
        <is>
          <t>FAV — Избранное</t>
        </is>
      </c>
      <c r="B21" s="14">
        <f>COUNTIF('Тест-кейсы'!$B$2:$B$197,"Избранное")</f>
        <v/>
      </c>
      <c r="C21" s="14">
        <f>COUNTIFS('Тест-кейсы'!$B$2:$B$197,"Избранное",'Тест-кейсы'!$E$2:$E$197,"P1")</f>
        <v/>
      </c>
      <c r="D21" s="14">
        <f>COUNTIFS('Тест-кейсы'!$B$2:$B$197,"Избранное",'Тест-кейсы'!$E$2:$E$197,"P2")</f>
        <v/>
      </c>
      <c r="E21" s="14">
        <f>COUNTIFS('Тест-кейсы'!$B$2:$B$197,"Избранное",'Тест-кейсы'!$E$2:$E$197,"P3")</f>
        <v/>
      </c>
      <c r="F21" s="14">
        <f>COUNTIFS('Тест-кейсы'!$B$2:$B$197,"Избранное",'Тест-кейсы'!$L$2:$L$197,"Да")</f>
        <v/>
      </c>
      <c r="G21" s="14">
        <f>COUNTIFS('Тест-кейсы'!$B$2:$B$197,"Избранное",'Тест-кейсы'!$L$2:$L$197,"Частично")</f>
        <v/>
      </c>
      <c r="H21" s="14">
        <f>COUNTIFS('Тест-кейсы'!$B$2:$B$197,"Избранное",'Тест-кейсы'!$L$2:$L$197,"Нет")</f>
        <v/>
      </c>
      <c r="I21" s="14">
        <f>COUNTIFS('Тест-кейсы'!$B$2:$B$197,"Избранное",'Тест-кейсы'!$N$2:$N$197,"Автоматизирован")</f>
        <v/>
      </c>
      <c r="J21" s="15">
        <f>IF(B21=0,0,I21/B21)</f>
        <v/>
      </c>
      <c r="K21" s="14">
        <f>COUNTIFS('Тест-кейсы'!$B$2:$B$197,"Избранное",'Тест-кейсы'!$P$2:$P$197,"Passed")</f>
        <v/>
      </c>
      <c r="L21" s="14">
        <f>COUNTIFS('Тест-кейсы'!$B$2:$B$197,"Избранное",'Тест-кейсы'!$P$2:$P$197,"Failed")</f>
        <v/>
      </c>
      <c r="M21" s="14">
        <f>COUNTIFS('Тест-кейсы'!$B$2:$B$197,"Избранное",'Тест-кейсы'!$P$2:$P$197,"Blocked")</f>
        <v/>
      </c>
      <c r="N21" s="14">
        <f>COUNTIFS('Тест-кейсы'!$B$2:$B$197,"Избранное",'Тест-кейсы'!$P$2:$P$197,"Skipped")</f>
        <v/>
      </c>
      <c r="O21" s="14">
        <f>COUNTIFS('Тест-кейсы'!$B$2:$B$197,"Избранное",'Тест-кейсы'!$P$2:$P$197,"Не выполнен")</f>
        <v/>
      </c>
    </row>
    <row r="22">
      <c r="A22" s="10" t="inlineStr">
        <is>
          <t>CART — Корзина</t>
        </is>
      </c>
      <c r="B22" s="11">
        <f>COUNTIF('Тест-кейсы'!$B$2:$B$197,"Корзина")</f>
        <v/>
      </c>
      <c r="C22" s="11">
        <f>COUNTIFS('Тест-кейсы'!$B$2:$B$197,"Корзина",'Тест-кейсы'!$E$2:$E$197,"P1")</f>
        <v/>
      </c>
      <c r="D22" s="11">
        <f>COUNTIFS('Тест-кейсы'!$B$2:$B$197,"Корзина",'Тест-кейсы'!$E$2:$E$197,"P2")</f>
        <v/>
      </c>
      <c r="E22" s="11">
        <f>COUNTIFS('Тест-кейсы'!$B$2:$B$197,"Корзина",'Тест-кейсы'!$E$2:$E$197,"P3")</f>
        <v/>
      </c>
      <c r="F22" s="11">
        <f>COUNTIFS('Тест-кейсы'!$B$2:$B$197,"Корзина",'Тест-кейсы'!$L$2:$L$197,"Да")</f>
        <v/>
      </c>
      <c r="G22" s="11">
        <f>COUNTIFS('Тест-кейсы'!$B$2:$B$197,"Корзина",'Тест-кейсы'!$L$2:$L$197,"Частично")</f>
        <v/>
      </c>
      <c r="H22" s="11">
        <f>COUNTIFS('Тест-кейсы'!$B$2:$B$197,"Корзина",'Тест-кейсы'!$L$2:$L$197,"Нет")</f>
        <v/>
      </c>
      <c r="I22" s="11">
        <f>COUNTIFS('Тест-кейсы'!$B$2:$B$197,"Корзина",'Тест-кейсы'!$N$2:$N$197,"Автоматизирован")</f>
        <v/>
      </c>
      <c r="J22" s="12">
        <f>IF(B22=0,0,I22/B22)</f>
        <v/>
      </c>
      <c r="K22" s="11">
        <f>COUNTIFS('Тест-кейсы'!$B$2:$B$197,"Корзина",'Тест-кейсы'!$P$2:$P$197,"Passed")</f>
        <v/>
      </c>
      <c r="L22" s="11">
        <f>COUNTIFS('Тест-кейсы'!$B$2:$B$197,"Корзина",'Тест-кейсы'!$P$2:$P$197,"Failed")</f>
        <v/>
      </c>
      <c r="M22" s="11">
        <f>COUNTIFS('Тест-кейсы'!$B$2:$B$197,"Корзина",'Тест-кейсы'!$P$2:$P$197,"Blocked")</f>
        <v/>
      </c>
      <c r="N22" s="11">
        <f>COUNTIFS('Тест-кейсы'!$B$2:$B$197,"Корзина",'Тест-кейсы'!$P$2:$P$197,"Skipped")</f>
        <v/>
      </c>
      <c r="O22" s="11">
        <f>COUNTIFS('Тест-кейсы'!$B$2:$B$197,"Корзина",'Тест-кейсы'!$P$2:$P$197,"Не выполнен")</f>
        <v/>
      </c>
    </row>
    <row r="23">
      <c r="A23" s="13" t="inlineStr">
        <is>
          <t>CHK — Оформление заказа</t>
        </is>
      </c>
      <c r="B23" s="14">
        <f>COUNTIF('Тест-кейсы'!$B$2:$B$197,"Оформление заказа")</f>
        <v/>
      </c>
      <c r="C23" s="14">
        <f>COUNTIFS('Тест-кейсы'!$B$2:$B$197,"Оформление заказа",'Тест-кейсы'!$E$2:$E$197,"P1")</f>
        <v/>
      </c>
      <c r="D23" s="14">
        <f>COUNTIFS('Тест-кейсы'!$B$2:$B$197,"Оформление заказа",'Тест-кейсы'!$E$2:$E$197,"P2")</f>
        <v/>
      </c>
      <c r="E23" s="14">
        <f>COUNTIFS('Тест-кейсы'!$B$2:$B$197,"Оформление заказа",'Тест-кейсы'!$E$2:$E$197,"P3")</f>
        <v/>
      </c>
      <c r="F23" s="14">
        <f>COUNTIFS('Тест-кейсы'!$B$2:$B$197,"Оформление заказа",'Тест-кейсы'!$L$2:$L$197,"Да")</f>
        <v/>
      </c>
      <c r="G23" s="14">
        <f>COUNTIFS('Тест-кейсы'!$B$2:$B$197,"Оформление заказа",'Тест-кейсы'!$L$2:$L$197,"Частично")</f>
        <v/>
      </c>
      <c r="H23" s="14">
        <f>COUNTIFS('Тест-кейсы'!$B$2:$B$197,"Оформление заказа",'Тест-кейсы'!$L$2:$L$197,"Нет")</f>
        <v/>
      </c>
      <c r="I23" s="14">
        <f>COUNTIFS('Тест-кейсы'!$B$2:$B$197,"Оформление заказа",'Тест-кейсы'!$N$2:$N$197,"Автоматизирован")</f>
        <v/>
      </c>
      <c r="J23" s="15">
        <f>IF(B23=0,0,I23/B23)</f>
        <v/>
      </c>
      <c r="K23" s="14">
        <f>COUNTIFS('Тест-кейсы'!$B$2:$B$197,"Оформление заказа",'Тест-кейсы'!$P$2:$P$197,"Passed")</f>
        <v/>
      </c>
      <c r="L23" s="14">
        <f>COUNTIFS('Тест-кейсы'!$B$2:$B$197,"Оформление заказа",'Тест-кейсы'!$P$2:$P$197,"Failed")</f>
        <v/>
      </c>
      <c r="M23" s="14">
        <f>COUNTIFS('Тест-кейсы'!$B$2:$B$197,"Оформление заказа",'Тест-кейсы'!$P$2:$P$197,"Blocked")</f>
        <v/>
      </c>
      <c r="N23" s="14">
        <f>COUNTIFS('Тест-кейсы'!$B$2:$B$197,"Оформление заказа",'Тест-кейсы'!$P$2:$P$197,"Skipped")</f>
        <v/>
      </c>
      <c r="O23" s="14">
        <f>COUNTIFS('Тест-кейсы'!$B$2:$B$197,"Оформление заказа",'Тест-кейсы'!$P$2:$P$197,"Не выполнен")</f>
        <v/>
      </c>
    </row>
    <row r="24">
      <c r="A24" s="10" t="inlineStr">
        <is>
          <t>ORD — Мои заказы</t>
        </is>
      </c>
      <c r="B24" s="11">
        <f>COUNTIF('Тест-кейсы'!$B$2:$B$197,"Мои заказы")</f>
        <v/>
      </c>
      <c r="C24" s="11">
        <f>COUNTIFS('Тест-кейсы'!$B$2:$B$197,"Мои заказы",'Тест-кейсы'!$E$2:$E$197,"P1")</f>
        <v/>
      </c>
      <c r="D24" s="11">
        <f>COUNTIFS('Тест-кейсы'!$B$2:$B$197,"Мои заказы",'Тест-кейсы'!$E$2:$E$197,"P2")</f>
        <v/>
      </c>
      <c r="E24" s="11">
        <f>COUNTIFS('Тест-кейсы'!$B$2:$B$197,"Мои заказы",'Тест-кейсы'!$E$2:$E$197,"P3")</f>
        <v/>
      </c>
      <c r="F24" s="11">
        <f>COUNTIFS('Тест-кейсы'!$B$2:$B$197,"Мои заказы",'Тест-кейсы'!$L$2:$L$197,"Да")</f>
        <v/>
      </c>
      <c r="G24" s="11">
        <f>COUNTIFS('Тест-кейсы'!$B$2:$B$197,"Мои заказы",'Тест-кейсы'!$L$2:$L$197,"Частично")</f>
        <v/>
      </c>
      <c r="H24" s="11">
        <f>COUNTIFS('Тест-кейсы'!$B$2:$B$197,"Мои заказы",'Тест-кейсы'!$L$2:$L$197,"Нет")</f>
        <v/>
      </c>
      <c r="I24" s="11">
        <f>COUNTIFS('Тест-кейсы'!$B$2:$B$197,"Мои заказы",'Тест-кейсы'!$N$2:$N$197,"Автоматизирован")</f>
        <v/>
      </c>
      <c r="J24" s="12">
        <f>IF(B24=0,0,I24/B24)</f>
        <v/>
      </c>
      <c r="K24" s="11">
        <f>COUNTIFS('Тест-кейсы'!$B$2:$B$197,"Мои заказы",'Тест-кейсы'!$P$2:$P$197,"Passed")</f>
        <v/>
      </c>
      <c r="L24" s="11">
        <f>COUNTIFS('Тест-кейсы'!$B$2:$B$197,"Мои заказы",'Тест-кейсы'!$P$2:$P$197,"Failed")</f>
        <v/>
      </c>
      <c r="M24" s="11">
        <f>COUNTIFS('Тест-кейсы'!$B$2:$B$197,"Мои заказы",'Тест-кейсы'!$P$2:$P$197,"Blocked")</f>
        <v/>
      </c>
      <c r="N24" s="11">
        <f>COUNTIFS('Тест-кейсы'!$B$2:$B$197,"Мои заказы",'Тест-кейсы'!$P$2:$P$197,"Skipped")</f>
        <v/>
      </c>
      <c r="O24" s="11">
        <f>COUNTIFS('Тест-кейсы'!$B$2:$B$197,"Мои заказы",'Тест-кейсы'!$P$2:$P$197,"Не выполнен")</f>
        <v/>
      </c>
    </row>
    <row r="25">
      <c r="A25" s="13" t="inlineStr">
        <is>
          <t>PRF — Личные данные и адреса</t>
        </is>
      </c>
      <c r="B25" s="14">
        <f>COUNTIF('Тест-кейсы'!$B$2:$B$197,"Личные данные и адреса")</f>
        <v/>
      </c>
      <c r="C25" s="14">
        <f>COUNTIFS('Тест-кейсы'!$B$2:$B$197,"Личные данные и адреса",'Тест-кейсы'!$E$2:$E$197,"P1")</f>
        <v/>
      </c>
      <c r="D25" s="14">
        <f>COUNTIFS('Тест-кейсы'!$B$2:$B$197,"Личные данные и адреса",'Тест-кейсы'!$E$2:$E$197,"P2")</f>
        <v/>
      </c>
      <c r="E25" s="14">
        <f>COUNTIFS('Тест-кейсы'!$B$2:$B$197,"Личные данные и адреса",'Тест-кейсы'!$E$2:$E$197,"P3")</f>
        <v/>
      </c>
      <c r="F25" s="14">
        <f>COUNTIFS('Тест-кейсы'!$B$2:$B$197,"Личные данные и адреса",'Тест-кейсы'!$L$2:$L$197,"Да")</f>
        <v/>
      </c>
      <c r="G25" s="14">
        <f>COUNTIFS('Тест-кейсы'!$B$2:$B$197,"Личные данные и адреса",'Тест-кейсы'!$L$2:$L$197,"Частично")</f>
        <v/>
      </c>
      <c r="H25" s="14">
        <f>COUNTIFS('Тест-кейсы'!$B$2:$B$197,"Личные данные и адреса",'Тест-кейсы'!$L$2:$L$197,"Нет")</f>
        <v/>
      </c>
      <c r="I25" s="14">
        <f>COUNTIFS('Тест-кейсы'!$B$2:$B$197,"Личные данные и адреса",'Тест-кейсы'!$N$2:$N$197,"Автоматизирован")</f>
        <v/>
      </c>
      <c r="J25" s="15">
        <f>IF(B25=0,0,I25/B25)</f>
        <v/>
      </c>
      <c r="K25" s="14">
        <f>COUNTIFS('Тест-кейсы'!$B$2:$B$197,"Личные данные и адреса",'Тест-кейсы'!$P$2:$P$197,"Passed")</f>
        <v/>
      </c>
      <c r="L25" s="14">
        <f>COUNTIFS('Тест-кейсы'!$B$2:$B$197,"Личные данные и адреса",'Тест-кейсы'!$P$2:$P$197,"Failed")</f>
        <v/>
      </c>
      <c r="M25" s="14">
        <f>COUNTIFS('Тест-кейсы'!$B$2:$B$197,"Личные данные и адреса",'Тест-кейсы'!$P$2:$P$197,"Blocked")</f>
        <v/>
      </c>
      <c r="N25" s="14">
        <f>COUNTIFS('Тест-кейсы'!$B$2:$B$197,"Личные данные и адреса",'Тест-кейсы'!$P$2:$P$197,"Skipped")</f>
        <v/>
      </c>
      <c r="O25" s="14">
        <f>COUNTIFS('Тест-кейсы'!$B$2:$B$197,"Личные данные и адреса",'Тест-кейсы'!$P$2:$P$197,"Не выполнен")</f>
        <v/>
      </c>
    </row>
    <row r="26">
      <c r="A26" s="10" t="inlineStr">
        <is>
          <t>PTS — Баллы</t>
        </is>
      </c>
      <c r="B26" s="11">
        <f>COUNTIF('Тест-кейсы'!$B$2:$B$197,"Баллы")</f>
        <v/>
      </c>
      <c r="C26" s="11">
        <f>COUNTIFS('Тест-кейсы'!$B$2:$B$197,"Баллы",'Тест-кейсы'!$E$2:$E$197,"P1")</f>
        <v/>
      </c>
      <c r="D26" s="11">
        <f>COUNTIFS('Тест-кейсы'!$B$2:$B$197,"Баллы",'Тест-кейсы'!$E$2:$E$197,"P2")</f>
        <v/>
      </c>
      <c r="E26" s="11">
        <f>COUNTIFS('Тест-кейсы'!$B$2:$B$197,"Баллы",'Тест-кейсы'!$E$2:$E$197,"P3")</f>
        <v/>
      </c>
      <c r="F26" s="11">
        <f>COUNTIFS('Тест-кейсы'!$B$2:$B$197,"Баллы",'Тест-кейсы'!$L$2:$L$197,"Да")</f>
        <v/>
      </c>
      <c r="G26" s="11">
        <f>COUNTIFS('Тест-кейсы'!$B$2:$B$197,"Баллы",'Тест-кейсы'!$L$2:$L$197,"Частично")</f>
        <v/>
      </c>
      <c r="H26" s="11">
        <f>COUNTIFS('Тест-кейсы'!$B$2:$B$197,"Баллы",'Тест-кейсы'!$L$2:$L$197,"Нет")</f>
        <v/>
      </c>
      <c r="I26" s="11">
        <f>COUNTIFS('Тест-кейсы'!$B$2:$B$197,"Баллы",'Тест-кейсы'!$N$2:$N$197,"Автоматизирован")</f>
        <v/>
      </c>
      <c r="J26" s="12">
        <f>IF(B26=0,0,I26/B26)</f>
        <v/>
      </c>
      <c r="K26" s="11">
        <f>COUNTIFS('Тест-кейсы'!$B$2:$B$197,"Баллы",'Тест-кейсы'!$P$2:$P$197,"Passed")</f>
        <v/>
      </c>
      <c r="L26" s="11">
        <f>COUNTIFS('Тест-кейсы'!$B$2:$B$197,"Баллы",'Тест-кейсы'!$P$2:$P$197,"Failed")</f>
        <v/>
      </c>
      <c r="M26" s="11">
        <f>COUNTIFS('Тест-кейсы'!$B$2:$B$197,"Баллы",'Тест-кейсы'!$P$2:$P$197,"Blocked")</f>
        <v/>
      </c>
      <c r="N26" s="11">
        <f>COUNTIFS('Тест-кейсы'!$B$2:$B$197,"Баллы",'Тест-кейсы'!$P$2:$P$197,"Skipped")</f>
        <v/>
      </c>
      <c r="O26" s="11">
        <f>COUNTIFS('Тест-кейсы'!$B$2:$B$197,"Баллы",'Тест-кейсы'!$P$2:$P$197,"Не выполнен")</f>
        <v/>
      </c>
    </row>
    <row r="27">
      <c r="A27" s="13" t="inlineStr">
        <is>
          <t>WLT — Мой кошелёк (долг)</t>
        </is>
      </c>
      <c r="B27" s="14">
        <f>COUNTIF('Тест-кейсы'!$B$2:$B$197,"Мой кошелёк (долг)")</f>
        <v/>
      </c>
      <c r="C27" s="14">
        <f>COUNTIFS('Тест-кейсы'!$B$2:$B$197,"Мой кошелёк (долг)",'Тест-кейсы'!$E$2:$E$197,"P1")</f>
        <v/>
      </c>
      <c r="D27" s="14">
        <f>COUNTIFS('Тест-кейсы'!$B$2:$B$197,"Мой кошелёк (долг)",'Тест-кейсы'!$E$2:$E$197,"P2")</f>
        <v/>
      </c>
      <c r="E27" s="14">
        <f>COUNTIFS('Тест-кейсы'!$B$2:$B$197,"Мой кошелёк (долг)",'Тест-кейсы'!$E$2:$E$197,"P3")</f>
        <v/>
      </c>
      <c r="F27" s="14">
        <f>COUNTIFS('Тест-кейсы'!$B$2:$B$197,"Мой кошелёк (долг)",'Тест-кейсы'!$L$2:$L$197,"Да")</f>
        <v/>
      </c>
      <c r="G27" s="14">
        <f>COUNTIFS('Тест-кейсы'!$B$2:$B$197,"Мой кошелёк (долг)",'Тест-кейсы'!$L$2:$L$197,"Частично")</f>
        <v/>
      </c>
      <c r="H27" s="14">
        <f>COUNTIFS('Тест-кейсы'!$B$2:$B$197,"Мой кошелёк (долг)",'Тест-кейсы'!$L$2:$L$197,"Нет")</f>
        <v/>
      </c>
      <c r="I27" s="14">
        <f>COUNTIFS('Тест-кейсы'!$B$2:$B$197,"Мой кошелёк (долг)",'Тест-кейсы'!$N$2:$N$197,"Автоматизирован")</f>
        <v/>
      </c>
      <c r="J27" s="15">
        <f>IF(B27=0,0,I27/B27)</f>
        <v/>
      </c>
      <c r="K27" s="14">
        <f>COUNTIFS('Тест-кейсы'!$B$2:$B$197,"Мой кошелёк (долг)",'Тест-кейсы'!$P$2:$P$197,"Passed")</f>
        <v/>
      </c>
      <c r="L27" s="14">
        <f>COUNTIFS('Тест-кейсы'!$B$2:$B$197,"Мой кошелёк (долг)",'Тест-кейсы'!$P$2:$P$197,"Failed")</f>
        <v/>
      </c>
      <c r="M27" s="14">
        <f>COUNTIFS('Тест-кейсы'!$B$2:$B$197,"Мой кошелёк (долг)",'Тест-кейсы'!$P$2:$P$197,"Blocked")</f>
        <v/>
      </c>
      <c r="N27" s="14">
        <f>COUNTIFS('Тест-кейсы'!$B$2:$B$197,"Мой кошелёк (долг)",'Тест-кейсы'!$P$2:$P$197,"Skipped")</f>
        <v/>
      </c>
      <c r="O27" s="14">
        <f>COUNTIFS('Тест-кейсы'!$B$2:$B$197,"Мой кошелёк (долг)",'Тест-кейсы'!$P$2:$P$197,"Не выполнен")</f>
        <v/>
      </c>
    </row>
    <row r="28">
      <c r="A28" s="10" t="inlineStr">
        <is>
          <t>NTF — Уведомления</t>
        </is>
      </c>
      <c r="B28" s="11">
        <f>COUNTIF('Тест-кейсы'!$B$2:$B$197,"Уведомления")</f>
        <v/>
      </c>
      <c r="C28" s="11">
        <f>COUNTIFS('Тест-кейсы'!$B$2:$B$197,"Уведомления",'Тест-кейсы'!$E$2:$E$197,"P1")</f>
        <v/>
      </c>
      <c r="D28" s="11">
        <f>COUNTIFS('Тест-кейсы'!$B$2:$B$197,"Уведомления",'Тест-кейсы'!$E$2:$E$197,"P2")</f>
        <v/>
      </c>
      <c r="E28" s="11">
        <f>COUNTIFS('Тест-кейсы'!$B$2:$B$197,"Уведомления",'Тест-кейсы'!$E$2:$E$197,"P3")</f>
        <v/>
      </c>
      <c r="F28" s="11">
        <f>COUNTIFS('Тест-кейсы'!$B$2:$B$197,"Уведомления",'Тест-кейсы'!$L$2:$L$197,"Да")</f>
        <v/>
      </c>
      <c r="G28" s="11">
        <f>COUNTIFS('Тест-кейсы'!$B$2:$B$197,"Уведомления",'Тест-кейсы'!$L$2:$L$197,"Частично")</f>
        <v/>
      </c>
      <c r="H28" s="11">
        <f>COUNTIFS('Тест-кейсы'!$B$2:$B$197,"Уведомления",'Тест-кейсы'!$L$2:$L$197,"Нет")</f>
        <v/>
      </c>
      <c r="I28" s="11">
        <f>COUNTIFS('Тест-кейсы'!$B$2:$B$197,"Уведомления",'Тест-кейсы'!$N$2:$N$197,"Автоматизирован")</f>
        <v/>
      </c>
      <c r="J28" s="12">
        <f>IF(B28=0,0,I28/B28)</f>
        <v/>
      </c>
      <c r="K28" s="11">
        <f>COUNTIFS('Тест-кейсы'!$B$2:$B$197,"Уведомления",'Тест-кейсы'!$P$2:$P$197,"Passed")</f>
        <v/>
      </c>
      <c r="L28" s="11">
        <f>COUNTIFS('Тест-кейсы'!$B$2:$B$197,"Уведомления",'Тест-кейсы'!$P$2:$P$197,"Failed")</f>
        <v/>
      </c>
      <c r="M28" s="11">
        <f>COUNTIFS('Тест-кейсы'!$B$2:$B$197,"Уведомления",'Тест-кейсы'!$P$2:$P$197,"Blocked")</f>
        <v/>
      </c>
      <c r="N28" s="11">
        <f>COUNTIFS('Тест-кейсы'!$B$2:$B$197,"Уведомления",'Тест-кейсы'!$P$2:$P$197,"Skipped")</f>
        <v/>
      </c>
      <c r="O28" s="11">
        <f>COUNTIFS('Тест-кейсы'!$B$2:$B$197,"Уведомления",'Тест-кейсы'!$P$2:$P$197,"Не выполнен")</f>
        <v/>
      </c>
    </row>
    <row r="29">
      <c r="A29" s="13" t="inlineStr">
        <is>
          <t>REQ — Мои запросы</t>
        </is>
      </c>
      <c r="B29" s="14">
        <f>COUNTIF('Тест-кейсы'!$B$2:$B$197,"Мои запросы")</f>
        <v/>
      </c>
      <c r="C29" s="14">
        <f>COUNTIFS('Тест-кейсы'!$B$2:$B$197,"Мои запросы",'Тест-кейсы'!$E$2:$E$197,"P1")</f>
        <v/>
      </c>
      <c r="D29" s="14">
        <f>COUNTIFS('Тест-кейсы'!$B$2:$B$197,"Мои запросы",'Тест-кейсы'!$E$2:$E$197,"P2")</f>
        <v/>
      </c>
      <c r="E29" s="14">
        <f>COUNTIFS('Тест-кейсы'!$B$2:$B$197,"Мои запросы",'Тест-кейсы'!$E$2:$E$197,"P3")</f>
        <v/>
      </c>
      <c r="F29" s="14">
        <f>COUNTIFS('Тест-кейсы'!$B$2:$B$197,"Мои запросы",'Тест-кейсы'!$L$2:$L$197,"Да")</f>
        <v/>
      </c>
      <c r="G29" s="14">
        <f>COUNTIFS('Тест-кейсы'!$B$2:$B$197,"Мои запросы",'Тест-кейсы'!$L$2:$L$197,"Частично")</f>
        <v/>
      </c>
      <c r="H29" s="14">
        <f>COUNTIFS('Тест-кейсы'!$B$2:$B$197,"Мои запросы",'Тест-кейсы'!$L$2:$L$197,"Нет")</f>
        <v/>
      </c>
      <c r="I29" s="14">
        <f>COUNTIFS('Тест-кейсы'!$B$2:$B$197,"Мои запросы",'Тест-кейсы'!$N$2:$N$197,"Автоматизирован")</f>
        <v/>
      </c>
      <c r="J29" s="15">
        <f>IF(B29=0,0,I29/B29)</f>
        <v/>
      </c>
      <c r="K29" s="14">
        <f>COUNTIFS('Тест-кейсы'!$B$2:$B$197,"Мои запросы",'Тест-кейсы'!$P$2:$P$197,"Passed")</f>
        <v/>
      </c>
      <c r="L29" s="14">
        <f>COUNTIFS('Тест-кейсы'!$B$2:$B$197,"Мои запросы",'Тест-кейсы'!$P$2:$P$197,"Failed")</f>
        <v/>
      </c>
      <c r="M29" s="14">
        <f>COUNTIFS('Тест-кейсы'!$B$2:$B$197,"Мои запросы",'Тест-кейсы'!$P$2:$P$197,"Blocked")</f>
        <v/>
      </c>
      <c r="N29" s="14">
        <f>COUNTIFS('Тест-кейсы'!$B$2:$B$197,"Мои запросы",'Тест-кейсы'!$P$2:$P$197,"Skipped")</f>
        <v/>
      </c>
      <c r="O29" s="14">
        <f>COUNTIFS('Тест-кейсы'!$B$2:$B$197,"Мои запросы",'Тест-кейсы'!$P$2:$P$197,"Не выполнен")</f>
        <v/>
      </c>
    </row>
    <row r="30">
      <c r="A30" s="10" t="inlineStr">
        <is>
          <t>SPC — Спецзаказ</t>
        </is>
      </c>
      <c r="B30" s="11">
        <f>COUNTIF('Тест-кейсы'!$B$2:$B$197,"Спецзаказ")</f>
        <v/>
      </c>
      <c r="C30" s="11">
        <f>COUNTIFS('Тест-кейсы'!$B$2:$B$197,"Спецзаказ",'Тест-кейсы'!$E$2:$E$197,"P1")</f>
        <v/>
      </c>
      <c r="D30" s="11">
        <f>COUNTIFS('Тест-кейсы'!$B$2:$B$197,"Спецзаказ",'Тест-кейсы'!$E$2:$E$197,"P2")</f>
        <v/>
      </c>
      <c r="E30" s="11">
        <f>COUNTIFS('Тест-кейсы'!$B$2:$B$197,"Спецзаказ",'Тест-кейсы'!$E$2:$E$197,"P3")</f>
        <v/>
      </c>
      <c r="F30" s="11">
        <f>COUNTIFS('Тест-кейсы'!$B$2:$B$197,"Спецзаказ",'Тест-кейсы'!$L$2:$L$197,"Да")</f>
        <v/>
      </c>
      <c r="G30" s="11">
        <f>COUNTIFS('Тест-кейсы'!$B$2:$B$197,"Спецзаказ",'Тест-кейсы'!$L$2:$L$197,"Частично")</f>
        <v/>
      </c>
      <c r="H30" s="11">
        <f>COUNTIFS('Тест-кейсы'!$B$2:$B$197,"Спецзаказ",'Тест-кейсы'!$L$2:$L$197,"Нет")</f>
        <v/>
      </c>
      <c r="I30" s="11">
        <f>COUNTIFS('Тест-кейсы'!$B$2:$B$197,"Спецзаказ",'Тест-кейсы'!$N$2:$N$197,"Автоматизирован")</f>
        <v/>
      </c>
      <c r="J30" s="12">
        <f>IF(B30=0,0,I30/B30)</f>
        <v/>
      </c>
      <c r="K30" s="11">
        <f>COUNTIFS('Тест-кейсы'!$B$2:$B$197,"Спецзаказ",'Тест-кейсы'!$P$2:$P$197,"Passed")</f>
        <v/>
      </c>
      <c r="L30" s="11">
        <f>COUNTIFS('Тест-кейсы'!$B$2:$B$197,"Спецзаказ",'Тест-кейсы'!$P$2:$P$197,"Failed")</f>
        <v/>
      </c>
      <c r="M30" s="11">
        <f>COUNTIFS('Тест-кейсы'!$B$2:$B$197,"Спецзаказ",'Тест-кейсы'!$P$2:$P$197,"Blocked")</f>
        <v/>
      </c>
      <c r="N30" s="11">
        <f>COUNTIFS('Тест-кейсы'!$B$2:$B$197,"Спецзаказ",'Тест-кейсы'!$P$2:$P$197,"Skipped")</f>
        <v/>
      </c>
      <c r="O30" s="11">
        <f>COUNTIFS('Тест-кейсы'!$B$2:$B$197,"Спецзаказ",'Тест-кейсы'!$P$2:$P$197,"Не выполнен")</f>
        <v/>
      </c>
    </row>
    <row r="31">
      <c r="A31" s="13" t="inlineStr">
        <is>
          <t>MST — Особенности роли «Мастер»</t>
        </is>
      </c>
      <c r="B31" s="14">
        <f>COUNTIF('Тест-кейсы'!$B$2:$B$197,"Особенности роли «Мастер»")</f>
        <v/>
      </c>
      <c r="C31" s="14">
        <f>COUNTIFS('Тест-кейсы'!$B$2:$B$197,"Особенности роли «Мастер»",'Тест-кейсы'!$E$2:$E$197,"P1")</f>
        <v/>
      </c>
      <c r="D31" s="14">
        <f>COUNTIFS('Тест-кейсы'!$B$2:$B$197,"Особенности роли «Мастер»",'Тест-кейсы'!$E$2:$E$197,"P2")</f>
        <v/>
      </c>
      <c r="E31" s="14">
        <f>COUNTIFS('Тест-кейсы'!$B$2:$B$197,"Особенности роли «Мастер»",'Тест-кейсы'!$E$2:$E$197,"P3")</f>
        <v/>
      </c>
      <c r="F31" s="14">
        <f>COUNTIFS('Тест-кейсы'!$B$2:$B$197,"Особенности роли «Мастер»",'Тест-кейсы'!$L$2:$L$197,"Да")</f>
        <v/>
      </c>
      <c r="G31" s="14">
        <f>COUNTIFS('Тест-кейсы'!$B$2:$B$197,"Особенности роли «Мастер»",'Тест-кейсы'!$L$2:$L$197,"Частично")</f>
        <v/>
      </c>
      <c r="H31" s="14">
        <f>COUNTIFS('Тест-кейсы'!$B$2:$B$197,"Особенности роли «Мастер»",'Тест-кейсы'!$L$2:$L$197,"Нет")</f>
        <v/>
      </c>
      <c r="I31" s="14">
        <f>COUNTIFS('Тест-кейсы'!$B$2:$B$197,"Особенности роли «Мастер»",'Тест-кейсы'!$N$2:$N$197,"Автоматизирован")</f>
        <v/>
      </c>
      <c r="J31" s="15">
        <f>IF(B31=0,0,I31/B31)</f>
        <v/>
      </c>
      <c r="K31" s="14">
        <f>COUNTIFS('Тест-кейсы'!$B$2:$B$197,"Особенности роли «Мастер»",'Тест-кейсы'!$P$2:$P$197,"Passed")</f>
        <v/>
      </c>
      <c r="L31" s="14">
        <f>COUNTIFS('Тест-кейсы'!$B$2:$B$197,"Особенности роли «Мастер»",'Тест-кейсы'!$P$2:$P$197,"Failed")</f>
        <v/>
      </c>
      <c r="M31" s="14">
        <f>COUNTIFS('Тест-кейсы'!$B$2:$B$197,"Особенности роли «Мастер»",'Тест-кейсы'!$P$2:$P$197,"Blocked")</f>
        <v/>
      </c>
      <c r="N31" s="14">
        <f>COUNTIFS('Тест-кейсы'!$B$2:$B$197,"Особенности роли «Мастер»",'Тест-кейсы'!$P$2:$P$197,"Skipped")</f>
        <v/>
      </c>
      <c r="O31" s="14">
        <f>COUNTIFS('Тест-кейсы'!$B$2:$B$197,"Особенности роли «Мастер»",'Тест-кейсы'!$P$2:$P$197,"Не выполнен")</f>
        <v/>
      </c>
    </row>
    <row r="32">
      <c r="A32" s="10" t="inlineStr">
        <is>
          <t>L10N — Локализация</t>
        </is>
      </c>
      <c r="B32" s="11">
        <f>COUNTIF('Тест-кейсы'!$B$2:$B$197,"Локализация")</f>
        <v/>
      </c>
      <c r="C32" s="11">
        <f>COUNTIFS('Тест-кейсы'!$B$2:$B$197,"Локализация",'Тест-кейсы'!$E$2:$E$197,"P1")</f>
        <v/>
      </c>
      <c r="D32" s="11">
        <f>COUNTIFS('Тест-кейсы'!$B$2:$B$197,"Локализация",'Тест-кейсы'!$E$2:$E$197,"P2")</f>
        <v/>
      </c>
      <c r="E32" s="11">
        <f>COUNTIFS('Тест-кейсы'!$B$2:$B$197,"Локализация",'Тест-кейсы'!$E$2:$E$197,"P3")</f>
        <v/>
      </c>
      <c r="F32" s="11">
        <f>COUNTIFS('Тест-кейсы'!$B$2:$B$197,"Локализация",'Тест-кейсы'!$L$2:$L$197,"Да")</f>
        <v/>
      </c>
      <c r="G32" s="11">
        <f>COUNTIFS('Тест-кейсы'!$B$2:$B$197,"Локализация",'Тест-кейсы'!$L$2:$L$197,"Частично")</f>
        <v/>
      </c>
      <c r="H32" s="11">
        <f>COUNTIFS('Тест-кейсы'!$B$2:$B$197,"Локализация",'Тест-кейсы'!$L$2:$L$197,"Нет")</f>
        <v/>
      </c>
      <c r="I32" s="11">
        <f>COUNTIFS('Тест-кейсы'!$B$2:$B$197,"Локализация",'Тест-кейсы'!$N$2:$N$197,"Автоматизирован")</f>
        <v/>
      </c>
      <c r="J32" s="12">
        <f>IF(B32=0,0,I32/B32)</f>
        <v/>
      </c>
      <c r="K32" s="11">
        <f>COUNTIFS('Тест-кейсы'!$B$2:$B$197,"Локализация",'Тест-кейсы'!$P$2:$P$197,"Passed")</f>
        <v/>
      </c>
      <c r="L32" s="11">
        <f>COUNTIFS('Тест-кейсы'!$B$2:$B$197,"Локализация",'Тест-кейсы'!$P$2:$P$197,"Failed")</f>
        <v/>
      </c>
      <c r="M32" s="11">
        <f>COUNTIFS('Тест-кейсы'!$B$2:$B$197,"Локализация",'Тест-кейсы'!$P$2:$P$197,"Blocked")</f>
        <v/>
      </c>
      <c r="N32" s="11">
        <f>COUNTIFS('Тест-кейсы'!$B$2:$B$197,"Локализация",'Тест-кейсы'!$P$2:$P$197,"Skipped")</f>
        <v/>
      </c>
      <c r="O32" s="11">
        <f>COUNTIFS('Тест-кейсы'!$B$2:$B$197,"Локализация",'Тест-кейсы'!$P$2:$P$197,"Не выполнен")</f>
        <v/>
      </c>
    </row>
    <row r="33">
      <c r="A33" s="13" t="inlineStr">
        <is>
          <t>MOB — Мобильная версия</t>
        </is>
      </c>
      <c r="B33" s="14">
        <f>COUNTIF('Тест-кейсы'!$B$2:$B$197,"Мобильная версия")</f>
        <v/>
      </c>
      <c r="C33" s="14">
        <f>COUNTIFS('Тест-кейсы'!$B$2:$B$197,"Мобильная версия",'Тест-кейсы'!$E$2:$E$197,"P1")</f>
        <v/>
      </c>
      <c r="D33" s="14">
        <f>COUNTIFS('Тест-кейсы'!$B$2:$B$197,"Мобильная версия",'Тест-кейсы'!$E$2:$E$197,"P2")</f>
        <v/>
      </c>
      <c r="E33" s="14">
        <f>COUNTIFS('Тест-кейсы'!$B$2:$B$197,"Мобильная версия",'Тест-кейсы'!$E$2:$E$197,"P3")</f>
        <v/>
      </c>
      <c r="F33" s="14">
        <f>COUNTIFS('Тест-кейсы'!$B$2:$B$197,"Мобильная версия",'Тест-кейсы'!$L$2:$L$197,"Да")</f>
        <v/>
      </c>
      <c r="G33" s="14">
        <f>COUNTIFS('Тест-кейсы'!$B$2:$B$197,"Мобильная версия",'Тест-кейсы'!$L$2:$L$197,"Частично")</f>
        <v/>
      </c>
      <c r="H33" s="14">
        <f>COUNTIFS('Тест-кейсы'!$B$2:$B$197,"Мобильная версия",'Тест-кейсы'!$L$2:$L$197,"Нет")</f>
        <v/>
      </c>
      <c r="I33" s="14">
        <f>COUNTIFS('Тест-кейсы'!$B$2:$B$197,"Мобильная версия",'Тест-кейсы'!$N$2:$N$197,"Автоматизирован")</f>
        <v/>
      </c>
      <c r="J33" s="15">
        <f>IF(B33=0,0,I33/B33)</f>
        <v/>
      </c>
      <c r="K33" s="14">
        <f>COUNTIFS('Тест-кейсы'!$B$2:$B$197,"Мобильная версия",'Тест-кейсы'!$P$2:$P$197,"Passed")</f>
        <v/>
      </c>
      <c r="L33" s="14">
        <f>COUNTIFS('Тест-кейсы'!$B$2:$B$197,"Мобильная версия",'Тест-кейсы'!$P$2:$P$197,"Failed")</f>
        <v/>
      </c>
      <c r="M33" s="14">
        <f>COUNTIFS('Тест-кейсы'!$B$2:$B$197,"Мобильная версия",'Тест-кейсы'!$P$2:$P$197,"Blocked")</f>
        <v/>
      </c>
      <c r="N33" s="14">
        <f>COUNTIFS('Тест-кейсы'!$B$2:$B$197,"Мобильная версия",'Тест-кейсы'!$P$2:$P$197,"Skipped")</f>
        <v/>
      </c>
      <c r="O33" s="14">
        <f>COUNTIFS('Тест-кейсы'!$B$2:$B$197,"Мобильная версия",'Тест-кейсы'!$P$2:$P$197,"Не выполнен")</f>
        <v/>
      </c>
    </row>
    <row r="34">
      <c r="A34" s="10" t="inlineStr">
        <is>
          <t>GEN — Общие проверки</t>
        </is>
      </c>
      <c r="B34" s="11">
        <f>COUNTIF('Тест-кейсы'!$B$2:$B$197,"Общие проверки")</f>
        <v/>
      </c>
      <c r="C34" s="11">
        <f>COUNTIFS('Тест-кейсы'!$B$2:$B$197,"Общие проверки",'Тест-кейсы'!$E$2:$E$197,"P1")</f>
        <v/>
      </c>
      <c r="D34" s="11">
        <f>COUNTIFS('Тест-кейсы'!$B$2:$B$197,"Общие проверки",'Тест-кейсы'!$E$2:$E$197,"P2")</f>
        <v/>
      </c>
      <c r="E34" s="11">
        <f>COUNTIFS('Тест-кейсы'!$B$2:$B$197,"Общие проверки",'Тест-кейсы'!$E$2:$E$197,"P3")</f>
        <v/>
      </c>
      <c r="F34" s="11">
        <f>COUNTIFS('Тест-кейсы'!$B$2:$B$197,"Общие проверки",'Тест-кейсы'!$L$2:$L$197,"Да")</f>
        <v/>
      </c>
      <c r="G34" s="11">
        <f>COUNTIFS('Тест-кейсы'!$B$2:$B$197,"Общие проверки",'Тест-кейсы'!$L$2:$L$197,"Частично")</f>
        <v/>
      </c>
      <c r="H34" s="11">
        <f>COUNTIFS('Тест-кейсы'!$B$2:$B$197,"Общие проверки",'Тест-кейсы'!$L$2:$L$197,"Нет")</f>
        <v/>
      </c>
      <c r="I34" s="11">
        <f>COUNTIFS('Тест-кейсы'!$B$2:$B$197,"Общие проверки",'Тест-кейсы'!$N$2:$N$197,"Автоматизирован")</f>
        <v/>
      </c>
      <c r="J34" s="12">
        <f>IF(B34=0,0,I34/B34)</f>
        <v/>
      </c>
      <c r="K34" s="11">
        <f>COUNTIFS('Тест-кейсы'!$B$2:$B$197,"Общие проверки",'Тест-кейсы'!$P$2:$P$197,"Passed")</f>
        <v/>
      </c>
      <c r="L34" s="11">
        <f>COUNTIFS('Тест-кейсы'!$B$2:$B$197,"Общие проверки",'Тест-кейсы'!$P$2:$P$197,"Failed")</f>
        <v/>
      </c>
      <c r="M34" s="11">
        <f>COUNTIFS('Тест-кейсы'!$B$2:$B$197,"Общие проверки",'Тест-кейсы'!$P$2:$P$197,"Blocked")</f>
        <v/>
      </c>
      <c r="N34" s="11">
        <f>COUNTIFS('Тест-кейсы'!$B$2:$B$197,"Общие проверки",'Тест-кейсы'!$P$2:$P$197,"Skipped")</f>
        <v/>
      </c>
      <c r="O34" s="11">
        <f>COUNTIFS('Тест-кейсы'!$B$2:$B$197,"Общие проверки",'Тест-кейсы'!$P$2:$P$197,"Не выполнен")</f>
        <v/>
      </c>
    </row>
    <row r="35">
      <c r="A35" s="16" t="inlineStr">
        <is>
          <t>ИТОГО</t>
        </is>
      </c>
      <c r="B35" s="17">
        <f>SUM(B14:B34)</f>
        <v/>
      </c>
      <c r="C35" s="17">
        <f>SUM(C14:C34)</f>
        <v/>
      </c>
      <c r="D35" s="17">
        <f>SUM(D14:D34)</f>
        <v/>
      </c>
      <c r="E35" s="17">
        <f>SUM(E14:E34)</f>
        <v/>
      </c>
      <c r="F35" s="17">
        <f>SUM(F14:F34)</f>
        <v/>
      </c>
      <c r="G35" s="17">
        <f>SUM(G14:G34)</f>
        <v/>
      </c>
      <c r="H35" s="17">
        <f>SUM(H14:H34)</f>
        <v/>
      </c>
      <c r="I35" s="17">
        <f>SUM(I14:I34)</f>
        <v/>
      </c>
      <c r="J35" s="18">
        <f>IF(B35=0,0,I35/B35)</f>
        <v/>
      </c>
      <c r="K35" s="17">
        <f>SUM(K14:K34)</f>
        <v/>
      </c>
      <c r="L35" s="17">
        <f>SUM(L14:L34)</f>
        <v/>
      </c>
      <c r="M35" s="17">
        <f>SUM(M14:M34)</f>
        <v/>
      </c>
      <c r="N35" s="17">
        <f>SUM(N14:N34)</f>
        <v/>
      </c>
      <c r="O35" s="17">
        <f>SUM(O14:O34)</f>
        <v/>
      </c>
    </row>
    <row r="36"/>
    <row r="37">
      <c r="A37" s="8" t="inlineStr">
        <is>
          <t>Легенда</t>
        </is>
      </c>
    </row>
    <row r="38">
      <c r="A38" s="19" t="inlineStr">
        <is>
          <t>P1 — критичный</t>
        </is>
      </c>
      <c r="B38" s="4" t="inlineStr">
        <is>
          <t>Блокирует релиз. Smoke-набор: прогоняется всегда.</t>
        </is>
      </c>
    </row>
    <row r="39">
      <c r="A39" s="20" t="inlineStr">
        <is>
          <t>P2 — высокий</t>
        </is>
      </c>
      <c r="B39" s="4" t="inlineStr">
        <is>
          <t>Важный функционал, прогоняется в полном регрессе.</t>
        </is>
      </c>
    </row>
    <row r="40">
      <c r="A40" s="21" t="inlineStr">
        <is>
          <t>P3 — средний</t>
        </is>
      </c>
      <c r="B40" s="4" t="inlineStr">
        <is>
          <t>UI/второстепенное, при нехватке времени можно отложить.</t>
        </is>
      </c>
    </row>
    <row r="41">
      <c r="A41" s="22" t="inlineStr">
        <is>
          <t>Можно автоматизировать: Да</t>
        </is>
      </c>
      <c r="B41" s="4" t="inlineStr">
        <is>
          <t>Сценарий стабилен и полностью проверяется через UI (Playwright).</t>
        </is>
      </c>
    </row>
    <row r="42">
      <c r="A42" s="23" t="inlineStr">
        <is>
          <t>Можно автоматизировать: Частично</t>
        </is>
      </c>
      <c r="B42" s="4" t="inlineStr">
        <is>
          <t>Нужны SMS/OTP, админка/API для подготовки данных или визуальная оценка.</t>
        </is>
      </c>
    </row>
    <row r="43">
      <c r="A43" s="19" t="inlineStr">
        <is>
          <t>Можно автоматизировать: Нет</t>
        </is>
      </c>
      <c r="B43" s="4" t="inlineStr">
        <is>
          <t>Требует реального устройства или деструктивно — только вручную.</t>
        </is>
      </c>
    </row>
    <row r="44">
      <c r="A44" s="24" t="inlineStr">
        <is>
          <t>Статус: Автоматизирован</t>
        </is>
      </c>
      <c r="B44" s="4" t="inlineStr">
        <is>
          <t>Есть автотест в репозитории aros-ui (колонка «Автотест»).</t>
        </is>
      </c>
    </row>
    <row r="45">
      <c r="A45" s="25" t="inlineStr">
        <is>
          <t>Результат прогона</t>
        </is>
      </c>
      <c r="B45" s="4" t="inlineStr">
        <is>
          <t>Выбирается из списка: Passed / Failed / Blocked / Skipped / Не выполнен.</t>
        </is>
      </c>
    </row>
    <row r="46">
      <c r="A46" s="25" t="inlineStr">
        <is>
          <t>Тип</t>
        </is>
      </c>
      <c r="B46" s="4" t="inlineStr">
        <is>
          <t>Smoke, Functional, Negative, UI, Security, Integration, Technical, Non-functional.</t>
        </is>
      </c>
    </row>
    <row r="47">
      <c r="A47" s="25" t="inlineStr">
        <is>
          <t>Требование / источник</t>
        </is>
      </c>
      <c r="B47" s="4" t="inlineStr">
        <is>
          <t>PRD из Confluence (лист «Источники») или «Проверено на staging». Integration — нужен шаг в админке.</t>
        </is>
      </c>
    </row>
  </sheetData>
  <mergeCells count="19">
    <mergeCell ref="B41:O41"/>
    <mergeCell ref="B9:H9"/>
    <mergeCell ref="B47:O47"/>
    <mergeCell ref="B6:H6"/>
    <mergeCell ref="B46:O46"/>
    <mergeCell ref="B5:H5"/>
    <mergeCell ref="B43:O43"/>
    <mergeCell ref="B39:O39"/>
    <mergeCell ref="B4:H4"/>
    <mergeCell ref="B7:H7"/>
    <mergeCell ref="B42:O42"/>
    <mergeCell ref="B44:O44"/>
    <mergeCell ref="B38:O38"/>
    <mergeCell ref="B11:H11"/>
    <mergeCell ref="B40:O40"/>
    <mergeCell ref="B8:H8"/>
    <mergeCell ref="A1:O1"/>
    <mergeCell ref="B10:H10"/>
    <mergeCell ref="B45:O45"/>
  </mergeCells>
  <conditionalFormatting sqref="J14:J34">
    <cfRule type="expression" priority="1" dxfId="0">
      <formula>J14&gt;=0.5</formula>
    </cfRule>
  </conditionalFormatting>
  <conditionalFormatting sqref="L14:L35">
    <cfRule type="expression" priority="2" dxfId="1">
      <formula>L14&gt;0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9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38" customWidth="1" min="4" max="4"/>
    <col width="10" customWidth="1" min="5" max="5"/>
    <col width="13" customWidth="1" min="6" max="6"/>
    <col width="28" customWidth="1" min="7" max="7"/>
    <col width="50" customWidth="1" min="8" max="8"/>
    <col width="22" customWidth="1" min="9" max="9"/>
    <col width="48" customWidth="1" min="10" max="10"/>
    <col width="26" customWidth="1" min="11" max="11"/>
    <col width="15" customWidth="1" min="12" max="12"/>
    <col width="30" customWidth="1" min="13" max="13"/>
    <col width="17" customWidth="1" min="14" max="14"/>
    <col width="34" customWidth="1" min="15" max="15"/>
    <col width="14" customWidth="1" min="16" max="16"/>
    <col width="30" customWidth="1" min="17" max="17"/>
  </cols>
  <sheetData>
    <row r="1" ht="42" customHeight="1">
      <c r="A1" s="9" t="inlineStr">
        <is>
          <t>ID</t>
        </is>
      </c>
      <c r="B1" s="9" t="inlineStr">
        <is>
          <t>Модуль</t>
        </is>
      </c>
      <c r="C1" s="9" t="inlineStr">
        <is>
          <t>Подмодуль</t>
        </is>
      </c>
      <c r="D1" s="9" t="inlineStr">
        <is>
          <t>Название тест-кейса</t>
        </is>
      </c>
      <c r="E1" s="9" t="inlineStr">
        <is>
          <t>Приоритет</t>
        </is>
      </c>
      <c r="F1" s="9" t="inlineStr">
        <is>
          <t>Тип</t>
        </is>
      </c>
      <c r="G1" s="9" t="inlineStr">
        <is>
          <t>Предусловия</t>
        </is>
      </c>
      <c r="H1" s="9" t="inlineStr">
        <is>
          <t>Шаги</t>
        </is>
      </c>
      <c r="I1" s="9" t="inlineStr">
        <is>
          <t>Тестовые данные</t>
        </is>
      </c>
      <c r="J1" s="9" t="inlineStr">
        <is>
          <t>Ожидаемый результат</t>
        </is>
      </c>
      <c r="K1" s="9" t="inlineStr">
        <is>
          <t>Требование / источник</t>
        </is>
      </c>
      <c r="L1" s="9" t="inlineStr">
        <is>
          <t>Можно автоматизировать (UI)</t>
        </is>
      </c>
      <c r="M1" s="9" t="inlineStr">
        <is>
          <t>Комментарий по автоматизации</t>
        </is>
      </c>
      <c r="N1" s="9" t="inlineStr">
        <is>
          <t>Статус UI-автоматизации</t>
        </is>
      </c>
      <c r="O1" s="9" t="inlineStr">
        <is>
          <t>Автотест (класс#метод)</t>
        </is>
      </c>
      <c r="P1" s="9" t="inlineStr">
        <is>
          <t>Результат прогона</t>
        </is>
      </c>
      <c r="Q1" s="9" t="inlineStr">
        <is>
          <t>Комментарий / ссылка на баг</t>
        </is>
      </c>
    </row>
    <row r="2" ht="76" customHeight="1">
      <c r="A2" s="26" t="inlineStr">
        <is>
          <t>AUTH-001</t>
        </is>
      </c>
      <c r="B2" s="27" t="inlineStr">
        <is>
          <t>Авторизация и сессия</t>
        </is>
      </c>
      <c r="C2" s="27" t="inlineStr">
        <is>
          <t>Вход по паролю</t>
        </is>
      </c>
      <c r="D2" s="28" t="inlineStr">
        <is>
          <t>Успешный вход по номеру телефона и паролю</t>
        </is>
      </c>
      <c r="E2" s="29" t="inlineStr">
        <is>
          <t>P1</t>
        </is>
      </c>
      <c r="F2" s="29" t="inlineStr">
        <is>
          <t>Smoke</t>
        </is>
      </c>
      <c r="G2" s="27" t="inlineStr">
        <is>
          <t>Пользователь НЕ авторизован</t>
        </is>
      </c>
      <c r="H2" s="27" t="inlineStr">
        <is>
          <t>1. Открыть главную страницу
2. Нажать «Войти» в шапке
3. Переключиться на вход по паролю
4. Ввести телефон и пароль мастера
5. Нажать «Войти»</t>
        </is>
      </c>
      <c r="I2" s="27" t="inlineStr">
        <is>
          <t>Телефон: +998998987882
Пароль: &lt;пароль в .env&gt; в .env&gt;</t>
        </is>
      </c>
      <c r="J2" s="27" t="inlineStr">
        <is>
          <t>Модальное окно закрылось, в шапке отображается имя пользователя «Шохрух», в профиле статус «Мастер»</t>
        </is>
      </c>
      <c r="K2" s="27" t="inlineStr"/>
      <c r="L2" s="29" t="inlineStr">
        <is>
          <t>Да</t>
        </is>
      </c>
      <c r="M2" s="27" t="inlineStr">
        <is>
          <t>Стабильный сценарий, тестовые креды в .env</t>
        </is>
      </c>
      <c r="N2" s="29" t="inlineStr">
        <is>
          <t>Автоматизирован</t>
        </is>
      </c>
      <c r="O2" s="27" t="inlineStr">
        <is>
          <t>storefront/auth/LoginTest#successfulLoginWithValidCredentials</t>
        </is>
      </c>
      <c r="P2" s="29" t="inlineStr">
        <is>
          <t>Не выполнен</t>
        </is>
      </c>
      <c r="Q2" s="27" t="inlineStr"/>
    </row>
    <row r="3" ht="48" customHeight="1">
      <c r="A3" s="26" t="inlineStr">
        <is>
          <t>AUTH-002</t>
        </is>
      </c>
      <c r="B3" s="27" t="inlineStr">
        <is>
          <t>Авторизация и сессия</t>
        </is>
      </c>
      <c r="C3" s="27" t="inlineStr">
        <is>
          <t>Вход по паролю</t>
        </is>
      </c>
      <c r="D3" s="28" t="inlineStr">
        <is>
          <t>Вход с неверным паролем</t>
        </is>
      </c>
      <c r="E3" s="29" t="inlineStr">
        <is>
          <t>P1</t>
        </is>
      </c>
      <c r="F3" s="29" t="inlineStr">
        <is>
          <t>Negative</t>
        </is>
      </c>
      <c r="G3" s="27" t="inlineStr">
        <is>
          <t>Пользователь НЕ авторизован</t>
        </is>
      </c>
      <c r="H3" s="27" t="inlineStr">
        <is>
          <t>1. Открыть форму входа, режим «по паролю»
2. Ввести валидный телефон и неверный пароль
3. Нажать «Войти»</t>
        </is>
      </c>
      <c r="I3" s="27" t="inlineStr">
        <is>
          <t>Пароль: WrongPass123</t>
        </is>
      </c>
      <c r="J3" s="27" t="inlineStr">
        <is>
          <t>Показано сообщение об ошибке, пользователь не авторизован, форма остаётся открытой</t>
        </is>
      </c>
      <c r="K3" s="27" t="inlineStr"/>
      <c r="L3" s="29" t="inlineStr">
        <is>
          <t>Да</t>
        </is>
      </c>
      <c r="M3" s="27" t="inlineStr"/>
      <c r="N3" s="29" t="inlineStr">
        <is>
          <t>Автоматизирован</t>
        </is>
      </c>
      <c r="O3" s="27" t="inlineStr">
        <is>
          <t>storefront/auth/LoginTest#loginFailsWithWrongPassword</t>
        </is>
      </c>
      <c r="P3" s="29" t="inlineStr">
        <is>
          <t>Не выполнен</t>
        </is>
      </c>
      <c r="Q3" s="27" t="inlineStr"/>
    </row>
    <row r="4" ht="62" customHeight="1">
      <c r="A4" s="26" t="inlineStr">
        <is>
          <t>AUTH-003</t>
        </is>
      </c>
      <c r="B4" s="27" t="inlineStr">
        <is>
          <t>Авторизация и сессия</t>
        </is>
      </c>
      <c r="C4" s="27" t="inlineStr">
        <is>
          <t>Вход по паролю</t>
        </is>
      </c>
      <c r="D4" s="28" t="inlineStr">
        <is>
          <t>Вход с некорректным форматом телефона</t>
        </is>
      </c>
      <c r="E4" s="29" t="inlineStr">
        <is>
          <t>P2</t>
        </is>
      </c>
      <c r="F4" s="29" t="inlineStr">
        <is>
          <t>Negative</t>
        </is>
      </c>
      <c r="G4" s="27" t="inlineStr">
        <is>
          <t>Пользователь НЕ авторизован</t>
        </is>
      </c>
      <c r="H4" s="27" t="inlineStr">
        <is>
          <t>1. Открыть форму входа
2. Ввести телефон неверного формата (короткий, буквы)
3. Ввести пароль, нажать «Войти»</t>
        </is>
      </c>
      <c r="I4" s="27" t="inlineStr">
        <is>
          <t>Набор: 123, abc, +99899</t>
        </is>
      </c>
      <c r="J4" s="27" t="inlineStr">
        <is>
          <t>Валидация поля телефона, запрос на вход не отправляется / ошибка, вход не выполнен</t>
        </is>
      </c>
      <c r="K4" s="27" t="inlineStr"/>
      <c r="L4" s="29" t="inlineStr">
        <is>
          <t>Да</t>
        </is>
      </c>
      <c r="M4" s="27" t="inlineStr">
        <is>
          <t>Параметризованный тест</t>
        </is>
      </c>
      <c r="N4" s="29" t="inlineStr">
        <is>
          <t>Автоматизирован</t>
        </is>
      </c>
      <c r="O4" s="27" t="inlineStr">
        <is>
          <t>storefront/auth/LoginTest#loginFailsWithInvalidPhoneFormat</t>
        </is>
      </c>
      <c r="P4" s="29" t="inlineStr">
        <is>
          <t>Не выполнен</t>
        </is>
      </c>
      <c r="Q4" s="27" t="inlineStr"/>
    </row>
    <row r="5" ht="48" customHeight="1">
      <c r="A5" s="26" t="inlineStr">
        <is>
          <t>AUTH-004</t>
        </is>
      </c>
      <c r="B5" s="27" t="inlineStr">
        <is>
          <t>Авторизация и сессия</t>
        </is>
      </c>
      <c r="C5" s="27" t="inlineStr">
        <is>
          <t>Вход по паролю</t>
        </is>
      </c>
      <c r="D5" s="28" t="inlineStr">
        <is>
          <t>Вход с пустым паролем</t>
        </is>
      </c>
      <c r="E5" s="29" t="inlineStr">
        <is>
          <t>P2</t>
        </is>
      </c>
      <c r="F5" s="29" t="inlineStr">
        <is>
          <t>Negative</t>
        </is>
      </c>
      <c r="G5" s="27" t="inlineStr">
        <is>
          <t>Пользователь НЕ авторизован</t>
        </is>
      </c>
      <c r="H5" s="27" t="inlineStr">
        <is>
          <t>1. Открыть форму входа (по паролю)
2. Ввести телефон, пароль оставить пустым
3. Нажать «Войти»</t>
        </is>
      </c>
      <c r="I5" s="27" t="inlineStr"/>
      <c r="J5" s="27" t="inlineStr">
        <is>
          <t>Кнопка неактивна или показана ошибка «обязательное поле», вход не выполнен</t>
        </is>
      </c>
      <c r="K5" s="27" t="inlineStr"/>
      <c r="L5" s="29" t="inlineStr">
        <is>
          <t>Да</t>
        </is>
      </c>
      <c r="M5" s="27" t="inlineStr"/>
      <c r="N5" s="29" t="inlineStr">
        <is>
          <t>Автоматизирован</t>
        </is>
      </c>
      <c r="O5" s="27" t="inlineStr">
        <is>
          <t>storefront/auth/LoginTest#loginFailsWithEmptyPassword</t>
        </is>
      </c>
      <c r="P5" s="29" t="inlineStr">
        <is>
          <t>Не выполнен</t>
        </is>
      </c>
      <c r="Q5" s="27" t="inlineStr"/>
    </row>
    <row r="6" ht="48" customHeight="1">
      <c r="A6" s="26" t="inlineStr">
        <is>
          <t>AUTH-005</t>
        </is>
      </c>
      <c r="B6" s="27" t="inlineStr">
        <is>
          <t>Авторизация и сессия</t>
        </is>
      </c>
      <c r="C6" s="27" t="inlineStr">
        <is>
          <t>Вход по паролю</t>
        </is>
      </c>
      <c r="D6" s="28" t="inlineStr">
        <is>
          <t>Вход с пустым номером телефона</t>
        </is>
      </c>
      <c r="E6" s="29" t="inlineStr">
        <is>
          <t>P2</t>
        </is>
      </c>
      <c r="F6" s="29" t="inlineStr">
        <is>
          <t>Negative</t>
        </is>
      </c>
      <c r="G6" s="27" t="inlineStr">
        <is>
          <t>Пользователь НЕ авторизован</t>
        </is>
      </c>
      <c r="H6" s="27" t="inlineStr">
        <is>
          <t>1. Открыть форму входа (по паролю)
2. Телефон оставить пустым, ввести пароль
3. Нажать «Войти»</t>
        </is>
      </c>
      <c r="I6" s="27" t="inlineStr"/>
      <c r="J6" s="27" t="inlineStr">
        <is>
          <t>Кнопка неактивна или показана ошибка валидации, вход не выполнен</t>
        </is>
      </c>
      <c r="K6" s="27" t="inlineStr"/>
      <c r="L6" s="29" t="inlineStr">
        <is>
          <t>Да</t>
        </is>
      </c>
      <c r="M6" s="27" t="inlineStr"/>
      <c r="N6" s="29" t="inlineStr">
        <is>
          <t>Автоматизирован</t>
        </is>
      </c>
      <c r="O6" s="27" t="inlineStr">
        <is>
          <t>storefront/auth/LoginTest#loginFailsWithEmptyPhoneNumber</t>
        </is>
      </c>
      <c r="P6" s="29" t="inlineStr">
        <is>
          <t>Не выполнен</t>
        </is>
      </c>
      <c r="Q6" s="27" t="inlineStr"/>
    </row>
    <row r="7" ht="48" customHeight="1">
      <c r="A7" s="26" t="inlineStr">
        <is>
          <t>AUTH-006</t>
        </is>
      </c>
      <c r="B7" s="27" t="inlineStr">
        <is>
          <t>Авторизация и сессия</t>
        </is>
      </c>
      <c r="C7" s="27" t="inlineStr">
        <is>
          <t>Вход по паролю</t>
        </is>
      </c>
      <c r="D7" s="28" t="inlineStr">
        <is>
          <t>Маскировка пароля и кнопка «показать/скрыть»</t>
        </is>
      </c>
      <c r="E7" s="29" t="inlineStr">
        <is>
          <t>P3</t>
        </is>
      </c>
      <c r="F7" s="29" t="inlineStr">
        <is>
          <t>UI</t>
        </is>
      </c>
      <c r="G7" s="27" t="inlineStr">
        <is>
          <t>Пользователь НЕ авторизован</t>
        </is>
      </c>
      <c r="H7" s="27" t="inlineStr">
        <is>
          <t>1. Открыть форму входа (по паролю)
2. Ввести пароль
3. Нажать на иконку «глаз» дважды</t>
        </is>
      </c>
      <c r="I7" s="27" t="inlineStr"/>
      <c r="J7" s="27" t="inlineStr">
        <is>
          <t>По умолчанию пароль скрыт (type=password); после 1-го клика виден, после 2-го снова скрыт</t>
        </is>
      </c>
      <c r="K7" s="27" t="inlineStr"/>
      <c r="L7" s="29" t="inlineStr">
        <is>
          <t>Да</t>
        </is>
      </c>
      <c r="M7" s="27" t="inlineStr"/>
      <c r="N7" s="29" t="inlineStr">
        <is>
          <t>Автоматизирован</t>
        </is>
      </c>
      <c r="O7" s="27" t="inlineStr">
        <is>
          <t>storefront/auth/LoginTest#passwordIsMaskedByDefaultAndToggleRevealsIt</t>
        </is>
      </c>
      <c r="P7" s="29" t="inlineStr">
        <is>
          <t>Не выполнен</t>
        </is>
      </c>
      <c r="Q7" s="27" t="inlineStr"/>
    </row>
    <row r="8" ht="48" customHeight="1">
      <c r="A8" s="26" t="inlineStr">
        <is>
          <t>AUTH-007</t>
        </is>
      </c>
      <c r="B8" s="27" t="inlineStr">
        <is>
          <t>Авторизация и сессия</t>
        </is>
      </c>
      <c r="C8" s="27" t="inlineStr">
        <is>
          <t>Режимы входа</t>
        </is>
      </c>
      <c r="D8" s="28" t="inlineStr">
        <is>
          <t>Переключение между входом по SMS и по паролю</t>
        </is>
      </c>
      <c r="E8" s="29" t="inlineStr">
        <is>
          <t>P2</t>
        </is>
      </c>
      <c r="F8" s="29" t="inlineStr">
        <is>
          <t>Functional</t>
        </is>
      </c>
      <c r="G8" s="27" t="inlineStr">
        <is>
          <t>Пользователь НЕ авторизован</t>
        </is>
      </c>
      <c r="H8" s="27" t="inlineStr">
        <is>
          <t>1. Открыть форму входа
2. Переключиться на «по паролю»
3. Переключиться обратно на «по телефону»</t>
        </is>
      </c>
      <c r="I8" s="27" t="inlineStr"/>
      <c r="J8" s="27" t="inlineStr">
        <is>
          <t>Поля формы меняются в соответствии с режимом, введённый телефон не теряется</t>
        </is>
      </c>
      <c r="K8" s="27" t="inlineStr"/>
      <c r="L8" s="29" t="inlineStr">
        <is>
          <t>Да</t>
        </is>
      </c>
      <c r="M8" s="27" t="inlineStr"/>
      <c r="N8" s="29" t="inlineStr">
        <is>
          <t>Автоматизирован</t>
        </is>
      </c>
      <c r="O8" s="27" t="inlineStr">
        <is>
          <t>storefront/auth/LoginTest#switchingBetweenPhoneAndPasswordLoginModes</t>
        </is>
      </c>
      <c r="P8" s="29" t="inlineStr">
        <is>
          <t>Не выполнен</t>
        </is>
      </c>
      <c r="Q8" s="27" t="inlineStr"/>
    </row>
    <row r="9" ht="62" customHeight="1">
      <c r="A9" s="26" t="inlineStr">
        <is>
          <t>AUTH-008</t>
        </is>
      </c>
      <c r="B9" s="27" t="inlineStr">
        <is>
          <t>Авторизация и сессия</t>
        </is>
      </c>
      <c r="C9" s="27" t="inlineStr">
        <is>
          <t>Вход по SMS</t>
        </is>
      </c>
      <c r="D9" s="28" t="inlineStr">
        <is>
          <t>Успешный вход по SMS-коду (OTP)</t>
        </is>
      </c>
      <c r="E9" s="29" t="inlineStr">
        <is>
          <t>P1</t>
        </is>
      </c>
      <c r="F9" s="29" t="inlineStr">
        <is>
          <t>Smoke</t>
        </is>
      </c>
      <c r="G9" s="27" t="inlineStr">
        <is>
          <t>Пользователь НЕ авторизован</t>
        </is>
      </c>
      <c r="H9" s="27" t="inlineStr">
        <is>
          <t>1. Открыть форму входа (по телефону)
2. Ввести номер мастера, нажать «Получить код»
3. Ввести код из SMS
4. Подтвердить</t>
        </is>
      </c>
      <c r="I9" s="27" t="inlineStr">
        <is>
          <t>Телефон: +998998987882</t>
        </is>
      </c>
      <c r="J9" s="27" t="inlineStr">
        <is>
          <t>Пользователь авторизован, в шапке имя пользователя</t>
        </is>
      </c>
      <c r="K9" s="27" t="inlineStr"/>
      <c r="L9" s="29" t="inlineStr">
        <is>
          <t>Частично</t>
        </is>
      </c>
      <c r="M9" s="27" t="inlineStr">
        <is>
          <t>OTP по SMS отложен (решение по планированию): нужен тестовый шлюз или фиксированный код</t>
        </is>
      </c>
      <c r="N9" s="29" t="inlineStr">
        <is>
          <t>Не автоматизирован</t>
        </is>
      </c>
      <c r="O9" s="27" t="inlineStr"/>
      <c r="P9" s="29" t="inlineStr">
        <is>
          <t>Не выполнен</t>
        </is>
      </c>
      <c r="Q9" s="27" t="inlineStr"/>
    </row>
    <row r="10" ht="48" customHeight="1">
      <c r="A10" s="26" t="inlineStr">
        <is>
          <t>AUTH-009</t>
        </is>
      </c>
      <c r="B10" s="27" t="inlineStr">
        <is>
          <t>Авторизация и сессия</t>
        </is>
      </c>
      <c r="C10" s="27" t="inlineStr">
        <is>
          <t>Вход по SMS</t>
        </is>
      </c>
      <c r="D10" s="28" t="inlineStr">
        <is>
          <t>Вход с неверным SMS-кодом</t>
        </is>
      </c>
      <c r="E10" s="29" t="inlineStr">
        <is>
          <t>P2</t>
        </is>
      </c>
      <c r="F10" s="29" t="inlineStr">
        <is>
          <t>Negative</t>
        </is>
      </c>
      <c r="G10" s="27" t="inlineStr">
        <is>
          <t>Пользователь НЕ авторизован</t>
        </is>
      </c>
      <c r="H10" s="27" t="inlineStr">
        <is>
          <t>1. Запросить код на номер мастера
2. Ввести неверный код
3. Подтвердить</t>
        </is>
      </c>
      <c r="I10" s="27" t="inlineStr">
        <is>
          <t>Код: 000000</t>
        </is>
      </c>
      <c r="J10" s="27" t="inlineStr">
        <is>
          <t>Сообщение «Неверный код», вход не выполнен</t>
        </is>
      </c>
      <c r="K10" s="27" t="inlineStr"/>
      <c r="L10" s="29" t="inlineStr">
        <is>
          <t>Частично</t>
        </is>
      </c>
      <c r="M10" s="27" t="inlineStr">
        <is>
          <t>OTP по SMS отложен (решение по планированию)</t>
        </is>
      </c>
      <c r="N10" s="29" t="inlineStr">
        <is>
          <t>Не автоматизирован</t>
        </is>
      </c>
      <c r="O10" s="27" t="inlineStr"/>
      <c r="P10" s="29" t="inlineStr">
        <is>
          <t>Не выполнен</t>
        </is>
      </c>
      <c r="Q10" s="27" t="inlineStr"/>
    </row>
    <row r="11" ht="48" customHeight="1">
      <c r="A11" s="26" t="inlineStr">
        <is>
          <t>AUTH-010</t>
        </is>
      </c>
      <c r="B11" s="27" t="inlineStr">
        <is>
          <t>Авторизация и сессия</t>
        </is>
      </c>
      <c r="C11" s="27" t="inlineStr">
        <is>
          <t>Вход по SMS</t>
        </is>
      </c>
      <c r="D11" s="28" t="inlineStr">
        <is>
          <t>Таймер и повторная отправка SMS-кода</t>
        </is>
      </c>
      <c r="E11" s="29" t="inlineStr">
        <is>
          <t>P3</t>
        </is>
      </c>
      <c r="F11" s="29" t="inlineStr">
        <is>
          <t>Functional</t>
        </is>
      </c>
      <c r="G11" s="27" t="inlineStr">
        <is>
          <t>Пользователь НЕ авторизован</t>
        </is>
      </c>
      <c r="H11" s="27" t="inlineStr">
        <is>
          <t>1. Запросить код
2. Дождаться окончания таймера
3. Нажать «Отправить повторно»</t>
        </is>
      </c>
      <c r="I11" s="27" t="inlineStr"/>
      <c r="J11" s="27" t="inlineStr">
        <is>
          <t>До окончания таймера повторная отправка недоступна; после — код отправляется повторно, таймер перезапускается</t>
        </is>
      </c>
      <c r="K11" s="27" t="inlineStr"/>
      <c r="L11" s="29" t="inlineStr">
        <is>
          <t>Частично</t>
        </is>
      </c>
      <c r="M11" s="27" t="inlineStr">
        <is>
          <t>OTP по SMS отложен (решение по планированию)</t>
        </is>
      </c>
      <c r="N11" s="29" t="inlineStr">
        <is>
          <t>Не автоматизирован</t>
        </is>
      </c>
      <c r="O11" s="27" t="inlineStr"/>
      <c r="P11" s="29" t="inlineStr">
        <is>
          <t>Не выполнен</t>
        </is>
      </c>
      <c r="Q11" s="27" t="inlineStr"/>
    </row>
    <row r="12" ht="62" customHeight="1">
      <c r="A12" s="26" t="inlineStr">
        <is>
          <t>AUTH-011</t>
        </is>
      </c>
      <c r="B12" s="27" t="inlineStr">
        <is>
          <t>Авторизация и сессия</t>
        </is>
      </c>
      <c r="C12" s="27" t="inlineStr">
        <is>
          <t>Восстановление пароля</t>
        </is>
      </c>
      <c r="D12" s="28" t="inlineStr">
        <is>
          <t>Восстановление пароля через «Забыли пароль?»</t>
        </is>
      </c>
      <c r="E12" s="29" t="inlineStr">
        <is>
          <t>P2</t>
        </is>
      </c>
      <c r="F12" s="29" t="inlineStr">
        <is>
          <t>Functional</t>
        </is>
      </c>
      <c r="G12" s="27" t="inlineStr">
        <is>
          <t>Пользователь НЕ авторизован</t>
        </is>
      </c>
      <c r="H12" s="27" t="inlineStr">
        <is>
          <t>1. Открыть форму входа (по паролю)
2. Нажать «Забыли пароль?»
3. Ввести телефон, подтвердить SMS-кодом
4. Задать новый пароль и войти с ним</t>
        </is>
      </c>
      <c r="I12" s="27" t="inlineStr"/>
      <c r="J12" s="27" t="inlineStr">
        <is>
          <t>Пароль изменён, вход с новым паролем успешен, со старым — нет</t>
        </is>
      </c>
      <c r="K12" s="27" t="inlineStr"/>
      <c r="L12" s="29" t="inlineStr">
        <is>
          <t>Частично</t>
        </is>
      </c>
      <c r="M12" s="27" t="inlineStr">
        <is>
          <t>Требует SMS-код — отложено вместе с OTP</t>
        </is>
      </c>
      <c r="N12" s="29" t="inlineStr">
        <is>
          <t>Не автоматизирован</t>
        </is>
      </c>
      <c r="O12" s="27" t="inlineStr"/>
      <c r="P12" s="29" t="inlineStr">
        <is>
          <t>Не выполнен</t>
        </is>
      </c>
      <c r="Q12" s="27" t="inlineStr"/>
    </row>
    <row r="13" ht="34" customHeight="1">
      <c r="A13" s="26" t="inlineStr">
        <is>
          <t>AUTH-012</t>
        </is>
      </c>
      <c r="B13" s="27" t="inlineStr">
        <is>
          <t>Авторизация и сессия</t>
        </is>
      </c>
      <c r="C13" s="27" t="inlineStr">
        <is>
          <t>Сессия</t>
        </is>
      </c>
      <c r="D13" s="28" t="inlineStr">
        <is>
          <t>Сессия сохраняется после перезагрузки и в новой вкладке</t>
        </is>
      </c>
      <c r="E13" s="29" t="inlineStr">
        <is>
          <t>P1</t>
        </is>
      </c>
      <c r="F13" s="29" t="inlineStr">
        <is>
          <t>Functional</t>
        </is>
      </c>
      <c r="G13" s="27" t="inlineStr">
        <is>
          <t>Пользователь авторизован как Мастер</t>
        </is>
      </c>
      <c r="H13" s="27" t="inlineStr">
        <is>
          <t>1. Перезагрузить страницу (F5)
2. Открыть сайт в новой вкладке</t>
        </is>
      </c>
      <c r="I13" s="27" t="inlineStr"/>
      <c r="J13" s="27" t="inlineStr">
        <is>
          <t>Пользователь остаётся авторизован в обоих случаях, корзина и имя в шапке на месте</t>
        </is>
      </c>
      <c r="K13" s="27" t="inlineStr"/>
      <c r="L13" s="29" t="inlineStr">
        <is>
          <t>Да</t>
        </is>
      </c>
      <c r="M13" s="27" t="inlineStr">
        <is>
          <t>storageState Playwright</t>
        </is>
      </c>
      <c r="N13" s="29" t="inlineStr">
        <is>
          <t>Автоматизирован</t>
        </is>
      </c>
      <c r="O13" s="27" t="inlineStr">
        <is>
          <t>storefront/auth/SessionTest#sessionSurvivesReloadAndNewTab</t>
        </is>
      </c>
      <c r="P13" s="29" t="inlineStr">
        <is>
          <t>Не выполнен</t>
        </is>
      </c>
      <c r="Q13" s="27" t="inlineStr"/>
    </row>
    <row r="14" ht="48" customHeight="1">
      <c r="A14" s="26" t="inlineStr">
        <is>
          <t>AUTH-013</t>
        </is>
      </c>
      <c r="B14" s="27" t="inlineStr">
        <is>
          <t>Авторизация и сессия</t>
        </is>
      </c>
      <c r="C14" s="27" t="inlineStr">
        <is>
          <t>Выход</t>
        </is>
      </c>
      <c r="D14" s="28" t="inlineStr">
        <is>
          <t>Выход из системы</t>
        </is>
      </c>
      <c r="E14" s="29" t="inlineStr">
        <is>
          <t>P1</t>
        </is>
      </c>
      <c r="F14" s="29" t="inlineStr">
        <is>
          <t>Smoke</t>
        </is>
      </c>
      <c r="G14" s="27" t="inlineStr">
        <is>
          <t>Пользователь авторизован как Мастер</t>
        </is>
      </c>
      <c r="H14" s="27" t="inlineStr">
        <is>
          <t>1. Открыть «Профиль»
2. Нажать «Выйти из системы»
3. Подтвердить (если есть диалог)</t>
        </is>
      </c>
      <c r="I14" s="27" t="inlineStr"/>
      <c r="J14" s="27" t="inlineStr">
        <is>
          <t>Пользователь разлогинен, в шапке кнопка «Войти», страницы /profile/* недоступны</t>
        </is>
      </c>
      <c r="K14" s="27" t="inlineStr"/>
      <c r="L14" s="29" t="inlineStr">
        <is>
          <t>Да</t>
        </is>
      </c>
      <c r="M14" s="27" t="inlineStr"/>
      <c r="N14" s="29" t="inlineStr">
        <is>
          <t>Автоматизирован</t>
        </is>
      </c>
      <c r="O14" s="27" t="inlineStr">
        <is>
          <t>storefront/auth/SessionTest#logoutReturnsToGuestState</t>
        </is>
      </c>
      <c r="P14" s="29" t="inlineStr">
        <is>
          <t>Не выполнен</t>
        </is>
      </c>
      <c r="Q14" s="27" t="inlineStr"/>
    </row>
    <row r="15" ht="34" customHeight="1">
      <c r="A15" s="26" t="inlineStr">
        <is>
          <t>AUTH-014</t>
        </is>
      </c>
      <c r="B15" s="27" t="inlineStr">
        <is>
          <t>Авторизация и сессия</t>
        </is>
      </c>
      <c r="C15" s="27" t="inlineStr">
        <is>
          <t>Доступ</t>
        </is>
      </c>
      <c r="D15" s="28" t="inlineStr">
        <is>
          <t>Закрытые страницы недоступны без авторизации</t>
        </is>
      </c>
      <c r="E15" s="29" t="inlineStr">
        <is>
          <t>P2</t>
        </is>
      </c>
      <c r="F15" s="29" t="inlineStr">
        <is>
          <t>Security</t>
        </is>
      </c>
      <c r="G15" s="27" t="inlineStr">
        <is>
          <t>Пользователь НЕ авторизован</t>
        </is>
      </c>
      <c r="H15" s="27" t="inlineStr">
        <is>
          <t>1. Открыть напрямую /ru/profile/account, /ru/profile/orders, /ru/confirmation</t>
        </is>
      </c>
      <c r="I15" s="27" t="inlineStr"/>
      <c r="J15" s="27" t="inlineStr">
        <is>
          <t>Показывается форма входа или редирект на главную; личные данные не отображаются</t>
        </is>
      </c>
      <c r="K15" s="27" t="inlineStr"/>
      <c r="L15" s="29" t="inlineStr">
        <is>
          <t>Да</t>
        </is>
      </c>
      <c r="M15" s="27" t="inlineStr">
        <is>
          <t>Проверено, что данные не показываются; но гость остаётся на пустом экране (AUTH-X03)</t>
        </is>
      </c>
      <c r="N15" s="29" t="inlineStr">
        <is>
          <t>Частично автоматизирован</t>
        </is>
      </c>
      <c r="O15" s="27" t="inlineStr">
        <is>
          <t>storefront/auth/GuestAccessTest#privatePagesShowNoDataToGuest</t>
        </is>
      </c>
      <c r="P15" s="29" t="inlineStr">
        <is>
          <t>Не выполнен</t>
        </is>
      </c>
      <c r="Q15" s="27" t="inlineStr"/>
    </row>
    <row r="16" ht="48" customHeight="1">
      <c r="A16" s="26" t="inlineStr">
        <is>
          <t>AUTH-015</t>
        </is>
      </c>
      <c r="B16" s="27" t="inlineStr">
        <is>
          <t>Авторизация и сессия</t>
        </is>
      </c>
      <c r="C16" s="27" t="inlineStr">
        <is>
          <t>Доступ</t>
        </is>
      </c>
      <c r="D16" s="28" t="inlineStr">
        <is>
          <t>Оформление заказа неавторизованным пользователем требует входа</t>
        </is>
      </c>
      <c r="E16" s="29" t="inlineStr">
        <is>
          <t>P2</t>
        </is>
      </c>
      <c r="F16" s="29" t="inlineStr">
        <is>
          <t>Functional</t>
        </is>
      </c>
      <c r="G16" s="27" t="inlineStr">
        <is>
          <t>Пользователь НЕ авторизован</t>
        </is>
      </c>
      <c r="H16" s="27" t="inlineStr">
        <is>
          <t>1. Добавить товар в корзину
2. Перейти в корзину
3. Нажать «Оформить»</t>
        </is>
      </c>
      <c r="I16" s="27" t="inlineStr"/>
      <c r="J16" s="27" t="inlineStr">
        <is>
          <t>Открывается форма входа; после входа пользователь возвращается к оформлению, корзина сохранена</t>
        </is>
      </c>
      <c r="K16" s="27" t="inlineStr"/>
      <c r="L16" s="29" t="inlineStr">
        <is>
          <t>Да</t>
        </is>
      </c>
      <c r="M16" s="27" t="inlineStr"/>
      <c r="N16" s="29" t="inlineStr">
        <is>
          <t>Автоматизирован</t>
        </is>
      </c>
      <c r="O16" s="27" t="inlineStr">
        <is>
          <t>storefront/auth/GuestAccessTest#checkoutAsGuestRequiresSignIn</t>
        </is>
      </c>
      <c r="P16" s="29" t="inlineStr">
        <is>
          <t>Не выполнен</t>
        </is>
      </c>
      <c r="Q16" s="27" t="inlineStr"/>
    </row>
    <row r="17" ht="34" customHeight="1">
      <c r="A17" s="30" t="inlineStr">
        <is>
          <t>HDR-001</t>
        </is>
      </c>
      <c r="B17" s="31" t="inlineStr">
        <is>
          <t>Шапка, футер и навигация</t>
        </is>
      </c>
      <c r="C17" s="31" t="inlineStr">
        <is>
          <t>Шапка</t>
        </is>
      </c>
      <c r="D17" s="32" t="inlineStr">
        <is>
          <t>Логотип ведёт на главную</t>
        </is>
      </c>
      <c r="E17" s="33" t="inlineStr">
        <is>
          <t>P3</t>
        </is>
      </c>
      <c r="F17" s="33" t="inlineStr">
        <is>
          <t>UI</t>
        </is>
      </c>
      <c r="G17" s="31" t="inlineStr">
        <is>
          <t>Пользователь авторизован как Мастер</t>
        </is>
      </c>
      <c r="H17" s="31" t="inlineStr">
        <is>
          <t>1. Открыть любую внутреннюю страницу
2. Нажать на логотип Aros</t>
        </is>
      </c>
      <c r="I17" s="31" t="inlineStr"/>
      <c r="J17" s="31" t="inlineStr">
        <is>
          <t>Открыта главная страница /ru</t>
        </is>
      </c>
      <c r="K17" s="31" t="inlineStr"/>
      <c r="L17" s="33" t="inlineStr">
        <is>
          <t>Да</t>
        </is>
      </c>
      <c r="M17" s="31" t="inlineStr"/>
      <c r="N17" s="33" t="inlineStr">
        <is>
          <t>Автоматизирован</t>
        </is>
      </c>
      <c r="O17" s="31" t="inlineStr">
        <is>
          <t>storefront/header/HeaderFooterTest#logoLeadsToHome</t>
        </is>
      </c>
      <c r="P17" s="33" t="inlineStr">
        <is>
          <t>Не выполнен</t>
        </is>
      </c>
      <c r="Q17" s="31" t="inlineStr"/>
    </row>
    <row r="18" ht="34" customHeight="1">
      <c r="A18" s="30" t="inlineStr">
        <is>
          <t>HDR-002</t>
        </is>
      </c>
      <c r="B18" s="31" t="inlineStr">
        <is>
          <t>Шапка, футер и навигация</t>
        </is>
      </c>
      <c r="C18" s="31" t="inlineStr">
        <is>
          <t>Шапка</t>
        </is>
      </c>
      <c r="D18" s="32" t="inlineStr">
        <is>
          <t>Контакты и режим работы в шапке</t>
        </is>
      </c>
      <c r="E18" s="33" t="inlineStr">
        <is>
          <t>P3</t>
        </is>
      </c>
      <c r="F18" s="33" t="inlineStr">
        <is>
          <t>UI</t>
        </is>
      </c>
      <c r="G18" s="31" t="inlineStr">
        <is>
          <t>Пользователь авторизован как Мастер</t>
        </is>
      </c>
      <c r="H18" s="31" t="inlineStr">
        <is>
          <t>1. Открыть главную
2. Проверить блок «Связаться» и «Режим работы»</t>
        </is>
      </c>
      <c r="I18" s="31" t="inlineStr"/>
      <c r="J18" s="31" t="inlineStr">
        <is>
          <t>Телефон +998 91 812 77 70 (ссылка tel:), режим 09:00–20:00 (Пн–Сб)</t>
        </is>
      </c>
      <c r="K18" s="31" t="inlineStr"/>
      <c r="L18" s="33" t="inlineStr">
        <is>
          <t>Да</t>
        </is>
      </c>
      <c r="M18" s="31" t="inlineStr">
        <is>
          <t>Проверка текста и href</t>
        </is>
      </c>
      <c r="N18" s="33" t="inlineStr">
        <is>
          <t>Автоматизирован</t>
        </is>
      </c>
      <c r="O18" s="31" t="inlineStr">
        <is>
          <t>storefront/header/HeaderFooterTest#topBarShowsPhoneAndWorkingHours</t>
        </is>
      </c>
      <c r="P18" s="33" t="inlineStr">
        <is>
          <t>Не выполнен</t>
        </is>
      </c>
      <c r="Q18" s="31" t="inlineStr"/>
    </row>
    <row r="19" ht="48" customHeight="1">
      <c r="A19" s="30" t="inlineStr">
        <is>
          <t>HDR-003</t>
        </is>
      </c>
      <c r="B19" s="31" t="inlineStr">
        <is>
          <t>Шапка, футер и навигация</t>
        </is>
      </c>
      <c r="C19" s="31" t="inlineStr">
        <is>
          <t>Выбор магазина</t>
        </is>
      </c>
      <c r="D19" s="32" t="inlineStr">
        <is>
          <t>Открытие окна выбора магазина</t>
        </is>
      </c>
      <c r="E19" s="33" t="inlineStr">
        <is>
          <t>P2</t>
        </is>
      </c>
      <c r="F19" s="33" t="inlineStr">
        <is>
          <t>Functional</t>
        </is>
      </c>
      <c r="G19" s="31" t="inlineStr">
        <is>
          <t>Пользователь авторизован как Мастер</t>
        </is>
      </c>
      <c r="H19" s="31" t="inlineStr">
        <is>
          <t>1. Нажать на название магазина в шапке («Урикзор Мобильный Центр»)</t>
        </is>
      </c>
      <c r="I19" s="31" t="inlineStr"/>
      <c r="J19" s="31" t="inlineStr">
        <is>
          <t>Открыто окно «Выберите адрес»: поля «Область», «Район/Город», список магазинов с адресом, ориентиром, телефоном; кнопка «Сохранить»</t>
        </is>
      </c>
      <c r="K19" s="31" t="inlineStr"/>
      <c r="L19" s="33" t="inlineStr">
        <is>
          <t>Да</t>
        </is>
      </c>
      <c r="M19" s="31" t="inlineStr">
        <is>
          <t>Проверено открытие окна и состав; фильтрация — HDR-004 вручную</t>
        </is>
      </c>
      <c r="N19" s="33" t="inlineStr">
        <is>
          <t>Частично автоматизирован</t>
        </is>
      </c>
      <c r="O19" s="31" t="inlineStr">
        <is>
          <t>storefront/header/HeaderFooterTest#storeDialogOpensWithShopList</t>
        </is>
      </c>
      <c r="P19" s="33" t="inlineStr">
        <is>
          <t>Не выполнен</t>
        </is>
      </c>
      <c r="Q19" s="31" t="inlineStr"/>
    </row>
    <row r="20" ht="48" customHeight="1">
      <c r="A20" s="30" t="inlineStr">
        <is>
          <t>HDR-004</t>
        </is>
      </c>
      <c r="B20" s="31" t="inlineStr">
        <is>
          <t>Шапка, футер и навигация</t>
        </is>
      </c>
      <c r="C20" s="31" t="inlineStr">
        <is>
          <t>Выбор магазина</t>
        </is>
      </c>
      <c r="D20" s="32" t="inlineStr">
        <is>
          <t>Фильтрация магазинов по области и району</t>
        </is>
      </c>
      <c r="E20" s="33" t="inlineStr">
        <is>
          <t>P2</t>
        </is>
      </c>
      <c r="F20" s="33" t="inlineStr">
        <is>
          <t>Functional</t>
        </is>
      </c>
      <c r="G20" s="31" t="inlineStr">
        <is>
          <t>Пользователь авторизован как Мастер</t>
        </is>
      </c>
      <c r="H20" s="31" t="inlineStr">
        <is>
          <t>1. Открыть окно выбора магазина
2. Выбрать область
3. Выбрать район/город</t>
        </is>
      </c>
      <c r="I20" s="31" t="inlineStr">
        <is>
          <t>Область: г. Ташкент</t>
        </is>
      </c>
      <c r="J20" s="31" t="inlineStr">
        <is>
          <t>Список магазинов отфильтрован по выбранной локации</t>
        </is>
      </c>
      <c r="K20" s="31" t="inlineStr"/>
      <c r="L20" s="33" t="inlineStr">
        <is>
          <t>Да</t>
        </is>
      </c>
      <c r="M20" s="31" t="inlineStr">
        <is>
          <t>Каскад «область → район → магазины» нужно изучить отдельно; смена магазина влияет на остатки</t>
        </is>
      </c>
      <c r="N20" s="33" t="inlineStr">
        <is>
          <t>Не автоматизирован</t>
        </is>
      </c>
      <c r="O20" s="31" t="inlineStr"/>
      <c r="P20" s="33" t="inlineStr">
        <is>
          <t>Не выполнен</t>
        </is>
      </c>
      <c r="Q20" s="31" t="inlineStr"/>
    </row>
    <row r="21" ht="62" customHeight="1">
      <c r="A21" s="30" t="inlineStr">
        <is>
          <t>HDR-005</t>
        </is>
      </c>
      <c r="B21" s="31" t="inlineStr">
        <is>
          <t>Шапка, футер и навигация</t>
        </is>
      </c>
      <c r="C21" s="31" t="inlineStr">
        <is>
          <t>Выбор магазина</t>
        </is>
      </c>
      <c r="D21" s="32" t="inlineStr">
        <is>
          <t>Смена магазина и сохранение</t>
        </is>
      </c>
      <c r="E21" s="33" t="inlineStr">
        <is>
          <t>P1</t>
        </is>
      </c>
      <c r="F21" s="33" t="inlineStr">
        <is>
          <t>Functional</t>
        </is>
      </c>
      <c r="G21" s="31" t="inlineStr">
        <is>
          <t>Пользователь авторизован как Мастер</t>
        </is>
      </c>
      <c r="H21" s="31" t="inlineStr">
        <is>
          <t>1. Открыть окно выбора магазина
2. Выбрать другой магазин (например, «Изза Шоурум»)
3. Нажать «Сохранить»
4. Открыть любой товар</t>
        </is>
      </c>
      <c r="I21" s="31" t="inlineStr"/>
      <c r="J21" s="31" t="inlineStr">
        <is>
          <t>В шапке отображается выбранный магазин; наличие и сроки доставки товаров пересчитаны под него; выбор сохраняется после перезагрузки</t>
        </is>
      </c>
      <c r="K21" s="31" t="inlineStr"/>
      <c r="L21" s="33" t="inlineStr">
        <is>
          <t>Частично</t>
        </is>
      </c>
      <c r="M21" s="31" t="inlineStr">
        <is>
          <t>Смена магазина меняет данные пользователя — проверять вручную</t>
        </is>
      </c>
      <c r="N21" s="33" t="inlineStr">
        <is>
          <t>Не автоматизирован</t>
        </is>
      </c>
      <c r="O21" s="31" t="inlineStr"/>
      <c r="P21" s="33" t="inlineStr">
        <is>
          <t>Не выполнен</t>
        </is>
      </c>
      <c r="Q21" s="31" t="inlineStr"/>
    </row>
    <row r="22" ht="48" customHeight="1">
      <c r="A22" s="30" t="inlineStr">
        <is>
          <t>HDR-006</t>
        </is>
      </c>
      <c r="B22" s="31" t="inlineStr">
        <is>
          <t>Шапка, футер и навигация</t>
        </is>
      </c>
      <c r="C22" s="31" t="inlineStr">
        <is>
          <t>Шапка</t>
        </is>
      </c>
      <c r="D22" s="32" t="inlineStr">
        <is>
          <t>Иконки корзины, избранного и профиля</t>
        </is>
      </c>
      <c r="E22" s="33" t="inlineStr">
        <is>
          <t>P2</t>
        </is>
      </c>
      <c r="F22" s="33" t="inlineStr">
        <is>
          <t>UI</t>
        </is>
      </c>
      <c r="G22" s="31" t="inlineStr">
        <is>
          <t>Пользователь авторизован как Мастер</t>
        </is>
      </c>
      <c r="H22" s="31" t="inlineStr">
        <is>
          <t>1. Нажать иконку корзины
2. Нажать иконку сердца
3. Нажать на имя пользователя</t>
        </is>
      </c>
      <c r="I22" s="31" t="inlineStr"/>
      <c r="J22" s="31" t="inlineStr">
        <is>
          <t>Открываются /ru/cart, /ru/favourites, /ru/profile/account; на корзине бейдж с количеством позиций</t>
        </is>
      </c>
      <c r="K22" s="31" t="inlineStr"/>
      <c r="L22" s="33" t="inlineStr">
        <is>
          <t>Да</t>
        </is>
      </c>
      <c r="M22" s="31" t="inlineStr"/>
      <c r="N22" s="33" t="inlineStr">
        <is>
          <t>Автоматизирован</t>
        </is>
      </c>
      <c r="O22" s="31" t="inlineStr">
        <is>
          <t>storefront/header/HeaderFooterTest#headerIconsArePresent</t>
        </is>
      </c>
      <c r="P22" s="33" t="inlineStr">
        <is>
          <t>Не выполнен</t>
        </is>
      </c>
      <c r="Q22" s="31" t="inlineStr"/>
    </row>
    <row r="23" ht="76" customHeight="1">
      <c r="A23" s="30" t="inlineStr">
        <is>
          <t>HDR-007</t>
        </is>
      </c>
      <c r="B23" s="31" t="inlineStr">
        <is>
          <t>Шапка, футер и навигация</t>
        </is>
      </c>
      <c r="C23" s="31" t="inlineStr">
        <is>
          <t>Футер</t>
        </is>
      </c>
      <c r="D23" s="32" t="inlineStr">
        <is>
          <t>Ссылки блока «О нас» и «Для клиента»</t>
        </is>
      </c>
      <c r="E23" s="33" t="inlineStr">
        <is>
          <t>P2</t>
        </is>
      </c>
      <c r="F23" s="33" t="inlineStr">
        <is>
          <t>Functional</t>
        </is>
      </c>
      <c r="G23" s="31" t="inlineStr">
        <is>
          <t>Пользователь авторизован как Мастер</t>
        </is>
      </c>
      <c r="H23" s="31" t="inlineStr">
        <is>
          <t>1. Прокрутить вниз
2. По очереди открыть: О нас, Методы оплаты, Сотрудничество, Система баллов, Политика конфиденциальности, Публичная оферта, Доставка, Статус продукта, Гарантия продукта, Тип оплаты, Отзыв</t>
        </is>
      </c>
      <c r="I23" s="31" t="inlineStr"/>
      <c r="J23" s="31" t="inlineStr">
        <is>
          <t>Каждая ссылка открывает страницу с контентом (не 404); страницы-заглушки /coming-soon зафиксировать как известные</t>
        </is>
      </c>
      <c r="K23" s="31" t="inlineStr"/>
      <c r="L23" s="33" t="inlineStr">
        <is>
          <t>Да</t>
        </is>
      </c>
      <c r="M23" s="31" t="inlineStr">
        <is>
          <t>Проверка статуса и заголовков страниц</t>
        </is>
      </c>
      <c r="N23" s="33" t="inlineStr">
        <is>
          <t>Автоматизирован</t>
        </is>
      </c>
      <c r="O23" s="31" t="inlineStr">
        <is>
          <t>storefront/header/HeaderFooterTest#footerLinksAreReachable</t>
        </is>
      </c>
      <c r="P23" s="33" t="inlineStr">
        <is>
          <t>Не выполнен</t>
        </is>
      </c>
      <c r="Q23" s="31" t="inlineStr"/>
    </row>
    <row r="24" ht="48" customHeight="1">
      <c r="A24" s="30" t="inlineStr">
        <is>
          <t>HDR-008</t>
        </is>
      </c>
      <c r="B24" s="31" t="inlineStr">
        <is>
          <t>Шапка, футер и навигация</t>
        </is>
      </c>
      <c r="C24" s="31" t="inlineStr">
        <is>
          <t>Футер</t>
        </is>
      </c>
      <c r="D24" s="32" t="inlineStr">
        <is>
          <t>Контакты и соцсети в футере</t>
        </is>
      </c>
      <c r="E24" s="33" t="inlineStr">
        <is>
          <t>P3</t>
        </is>
      </c>
      <c r="F24" s="33" t="inlineStr">
        <is>
          <t>UI</t>
        </is>
      </c>
      <c r="G24" s="31" t="inlineStr">
        <is>
          <t>Пользователь авторизован как Мастер</t>
        </is>
      </c>
      <c r="H24" s="31" t="inlineStr">
        <is>
          <t>1. Проверить телефон, e-mail, адрес, Telegram, иконки соцсетей</t>
        </is>
      </c>
      <c r="I24" s="31" t="inlineStr"/>
      <c r="J24" s="31" t="inlineStr">
        <is>
          <t>tel:, mailto:, ссылки Telegram/Instagram/YouTube/LinkedIn ведут на корректные внешние адреса и открываются в новой вкладке</t>
        </is>
      </c>
      <c r="K24" s="31" t="inlineStr"/>
      <c r="L24" s="33" t="inlineStr">
        <is>
          <t>Частично</t>
        </is>
      </c>
      <c r="M24" s="31" t="inlineStr">
        <is>
          <t>Проверяем только href, внешние сайты не открываем</t>
        </is>
      </c>
      <c r="N24" s="33" t="inlineStr">
        <is>
          <t>Автоматизирован</t>
        </is>
      </c>
      <c r="O24" s="31" t="inlineStr">
        <is>
          <t>storefront/header/HeaderFooterTest#footerContactsArePresent</t>
        </is>
      </c>
      <c r="P24" s="33" t="inlineStr">
        <is>
          <t>Не выполнен</t>
        </is>
      </c>
      <c r="Q24" s="31" t="inlineStr"/>
    </row>
    <row r="25" ht="48" customHeight="1">
      <c r="A25" s="30" t="inlineStr">
        <is>
          <t>HDR-009</t>
        </is>
      </c>
      <c r="B25" s="31" t="inlineStr">
        <is>
          <t>Шапка, футер и навигация</t>
        </is>
      </c>
      <c r="C25" s="31" t="inlineStr">
        <is>
          <t>Футер</t>
        </is>
      </c>
      <c r="D25" s="32" t="inlineStr">
        <is>
          <t>QR-код для скачивания приложения</t>
        </is>
      </c>
      <c r="E25" s="33" t="inlineStr">
        <is>
          <t>P3</t>
        </is>
      </c>
      <c r="F25" s="33" t="inlineStr">
        <is>
          <t>UI</t>
        </is>
      </c>
      <c r="G25" s="31" t="inlineStr">
        <is>
          <t>Пользователь авторизован как Мастер</t>
        </is>
      </c>
      <c r="H25" s="31" t="inlineStr">
        <is>
          <t>1. Найти блок «Наведите камеру и скачайте приложение»
2. Отсканировать QR-код телефоном</t>
        </is>
      </c>
      <c r="I25" s="31" t="inlineStr"/>
      <c r="J25" s="31" t="inlineStr">
        <is>
          <t>QR-код отображается; при сканировании открывается страница приложения Aros Market в сторе</t>
        </is>
      </c>
      <c r="K25" s="31" t="inlineStr"/>
      <c r="L25" s="33" t="inlineStr">
        <is>
          <t>Нет</t>
        </is>
      </c>
      <c r="M25" s="31" t="inlineStr">
        <is>
          <t>QR-код — визуальная проверка</t>
        </is>
      </c>
      <c r="N25" s="33" t="inlineStr">
        <is>
          <t>Не автоматизирован</t>
        </is>
      </c>
      <c r="O25" s="31" t="inlineStr"/>
      <c r="P25" s="33" t="inlineStr">
        <is>
          <t>Не выполнен</t>
        </is>
      </c>
      <c r="Q25" s="31" t="inlineStr"/>
    </row>
    <row r="26" ht="48" customHeight="1">
      <c r="A26" s="26" t="inlineStr">
        <is>
          <t>HOME-001</t>
        </is>
      </c>
      <c r="B26" s="27" t="inlineStr">
        <is>
          <t>Главная страница</t>
        </is>
      </c>
      <c r="C26" s="27" t="inlineStr">
        <is>
          <t>Загрузка</t>
        </is>
      </c>
      <c r="D26" s="28" t="inlineStr">
        <is>
          <t>Главная страница загружается со всеми секциями</t>
        </is>
      </c>
      <c r="E26" s="29" t="inlineStr">
        <is>
          <t>P1</t>
        </is>
      </c>
      <c r="F26" s="29" t="inlineStr">
        <is>
          <t>Smoke</t>
        </is>
      </c>
      <c r="G26" s="27" t="inlineStr">
        <is>
          <t>Пользователь авторизован как Мастер</t>
        </is>
      </c>
      <c r="H26" s="27" t="inlineStr">
        <is>
          <t>1. Открыть https://staging.aros.uz/ru</t>
        </is>
      </c>
      <c r="I26" s="27" t="inlineStr"/>
      <c r="J26" s="27" t="inlineStr">
        <is>
          <t>Отображаются: шапка, баннер-слайдер, «Товары со скидкой», «Новинки», «Популярное», футер; нет ошибок в консоли и 5xx запросов</t>
        </is>
      </c>
      <c r="K26" s="27" t="inlineStr"/>
      <c r="L26" s="29" t="inlineStr">
        <is>
          <t>Да</t>
        </is>
      </c>
      <c r="M26" s="27" t="inlineStr"/>
      <c r="N26" s="29" t="inlineStr">
        <is>
          <t>Автоматизирован</t>
        </is>
      </c>
      <c r="O26" s="27" t="inlineStr">
        <is>
          <t>storefront/home/HomeTest#homeLoadsWithAllSections</t>
        </is>
      </c>
      <c r="P26" s="29" t="inlineStr">
        <is>
          <t>Не выполнен</t>
        </is>
      </c>
      <c r="Q26" s="27" t="inlineStr"/>
    </row>
    <row r="27" ht="48" customHeight="1">
      <c r="A27" s="26" t="inlineStr">
        <is>
          <t>HOME-002</t>
        </is>
      </c>
      <c r="B27" s="27" t="inlineStr">
        <is>
          <t>Главная страница</t>
        </is>
      </c>
      <c r="C27" s="27" t="inlineStr">
        <is>
          <t>Баннеры</t>
        </is>
      </c>
      <c r="D27" s="28" t="inlineStr">
        <is>
          <t>Баннер-слайдер: стрелки и индикаторы</t>
        </is>
      </c>
      <c r="E27" s="29" t="inlineStr">
        <is>
          <t>P3</t>
        </is>
      </c>
      <c r="F27" s="29" t="inlineStr">
        <is>
          <t>UI</t>
        </is>
      </c>
      <c r="G27" s="27" t="inlineStr">
        <is>
          <t>Пользователь авторизован как Мастер</t>
        </is>
      </c>
      <c r="H27" s="27" t="inlineStr">
        <is>
          <t>1. Нажать стрелки влево/вправо
2. Нажать на точки-индикаторы
3. Подождать автопрокрутку</t>
        </is>
      </c>
      <c r="I27" s="27" t="inlineStr"/>
      <c r="J27" s="27" t="inlineStr">
        <is>
          <t>Слайды переключаются; активная точка соответствует слайду; изображения не битые</t>
        </is>
      </c>
      <c r="K27" s="27" t="inlineStr"/>
      <c r="L27" s="29" t="inlineStr">
        <is>
          <t>Частично</t>
        </is>
      </c>
      <c r="M27" s="27" t="inlineStr">
        <is>
          <t>Слайдер: нужен отдельный разбор (стрелки и точки без стабильных селекторов)</t>
        </is>
      </c>
      <c r="N27" s="29" t="inlineStr">
        <is>
          <t>Не автоматизирован</t>
        </is>
      </c>
      <c r="O27" s="27" t="inlineStr"/>
      <c r="P27" s="29" t="inlineStr">
        <is>
          <t>Не выполнен</t>
        </is>
      </c>
      <c r="Q27" s="27" t="inlineStr"/>
    </row>
    <row r="28" ht="34" customHeight="1">
      <c r="A28" s="26" t="inlineStr">
        <is>
          <t>HOME-003</t>
        </is>
      </c>
      <c r="B28" s="27" t="inlineStr">
        <is>
          <t>Главная страница</t>
        </is>
      </c>
      <c r="C28" s="27" t="inlineStr">
        <is>
          <t>Секции</t>
        </is>
      </c>
      <c r="D28" s="28" t="inlineStr">
        <is>
          <t>«Товары со скидкой» → «Все»</t>
        </is>
      </c>
      <c r="E28" s="29" t="inlineStr">
        <is>
          <t>P2</t>
        </is>
      </c>
      <c r="F28" s="29" t="inlineStr">
        <is>
          <t>Functional</t>
        </is>
      </c>
      <c r="G28" s="27" t="inlineStr">
        <is>
          <t>Пользователь авторизован как Мастер</t>
        </is>
      </c>
      <c r="H28" s="27" t="inlineStr">
        <is>
          <t>1. В секции «Товары со скидкой» нажать «Все»</t>
        </is>
      </c>
      <c r="I28" s="27" t="inlineStr"/>
      <c r="J28" s="27" t="inlineStr">
        <is>
          <t>Открыта /ru/sections/onsale со списком товаров со скидкой</t>
        </is>
      </c>
      <c r="K28" s="27" t="inlineStr"/>
      <c r="L28" s="29" t="inlineStr">
        <is>
          <t>Да</t>
        </is>
      </c>
      <c r="M28" s="27" t="inlineStr"/>
      <c r="N28" s="29" t="inlineStr">
        <is>
          <t>Автоматизирован</t>
        </is>
      </c>
      <c r="O28" s="27" t="inlineStr">
        <is>
          <t>storefront/home/HomeTest#allLinkOpensSectionPage</t>
        </is>
      </c>
      <c r="P28" s="29" t="inlineStr">
        <is>
          <t>Не выполнен</t>
        </is>
      </c>
      <c r="Q28" s="27" t="inlineStr"/>
    </row>
    <row r="29" ht="34" customHeight="1">
      <c r="A29" s="26" t="inlineStr">
        <is>
          <t>HOME-004</t>
        </is>
      </c>
      <c r="B29" s="27" t="inlineStr">
        <is>
          <t>Главная страница</t>
        </is>
      </c>
      <c r="C29" s="27" t="inlineStr">
        <is>
          <t>Секции</t>
        </is>
      </c>
      <c r="D29" s="28" t="inlineStr">
        <is>
          <t>«Новинки» → «Все»</t>
        </is>
      </c>
      <c r="E29" s="29" t="inlineStr">
        <is>
          <t>P2</t>
        </is>
      </c>
      <c r="F29" s="29" t="inlineStr">
        <is>
          <t>Functional</t>
        </is>
      </c>
      <c r="G29" s="27" t="inlineStr">
        <is>
          <t>Пользователь авторизован как Мастер</t>
        </is>
      </c>
      <c r="H29" s="27" t="inlineStr">
        <is>
          <t>1. В секции «Новинки» нажать «Все»</t>
        </is>
      </c>
      <c r="I29" s="27" t="inlineStr"/>
      <c r="J29" s="27" t="inlineStr">
        <is>
          <t>Открыт список новинок, товары отсортированы от новых к старым</t>
        </is>
      </c>
      <c r="K29" s="27" t="inlineStr"/>
      <c r="L29" s="29" t="inlineStr">
        <is>
          <t>Да</t>
        </is>
      </c>
      <c r="M29" s="27" t="inlineStr"/>
      <c r="N29" s="29" t="inlineStr">
        <is>
          <t>Автоматизирован</t>
        </is>
      </c>
      <c r="O29" s="27" t="inlineStr">
        <is>
          <t>storefront/home/HomeTest#allLinkOpensSectionPage</t>
        </is>
      </c>
      <c r="P29" s="29" t="inlineStr">
        <is>
          <t>Не выполнен</t>
        </is>
      </c>
      <c r="Q29" s="27" t="inlineStr"/>
    </row>
    <row r="30" ht="34" customHeight="1">
      <c r="A30" s="26" t="inlineStr">
        <is>
          <t>HOME-005</t>
        </is>
      </c>
      <c r="B30" s="27" t="inlineStr">
        <is>
          <t>Главная страница</t>
        </is>
      </c>
      <c r="C30" s="27" t="inlineStr">
        <is>
          <t>Секции</t>
        </is>
      </c>
      <c r="D30" s="28" t="inlineStr">
        <is>
          <t>«Популярное» → «Все»</t>
        </is>
      </c>
      <c r="E30" s="29" t="inlineStr">
        <is>
          <t>P2</t>
        </is>
      </c>
      <c r="F30" s="29" t="inlineStr">
        <is>
          <t>Functional</t>
        </is>
      </c>
      <c r="G30" s="27" t="inlineStr">
        <is>
          <t>Пользователь авторизован как Мастер</t>
        </is>
      </c>
      <c r="H30" s="27" t="inlineStr">
        <is>
          <t>1. В секции «Популярное» нажать «Все»</t>
        </is>
      </c>
      <c r="I30" s="27" t="inlineStr"/>
      <c r="J30" s="27" t="inlineStr">
        <is>
          <t>Открыт список популярных товаров</t>
        </is>
      </c>
      <c r="K30" s="27" t="inlineStr"/>
      <c r="L30" s="29" t="inlineStr">
        <is>
          <t>Да</t>
        </is>
      </c>
      <c r="M30" s="27" t="inlineStr"/>
      <c r="N30" s="29" t="inlineStr">
        <is>
          <t>Автоматизирован</t>
        </is>
      </c>
      <c r="O30" s="27" t="inlineStr">
        <is>
          <t>storefront/home/HomeTest#allLinkOpensSectionPage</t>
        </is>
      </c>
      <c r="P30" s="29" t="inlineStr">
        <is>
          <t>Не выполнен</t>
        </is>
      </c>
      <c r="Q30" s="27" t="inlineStr"/>
    </row>
    <row r="31" ht="62" customHeight="1">
      <c r="A31" s="26" t="inlineStr">
        <is>
          <t>HOME-006</t>
        </is>
      </c>
      <c r="B31" s="27" t="inlineStr">
        <is>
          <t>Главная страница</t>
        </is>
      </c>
      <c r="C31" s="27" t="inlineStr">
        <is>
          <t>Карточка товара</t>
        </is>
      </c>
      <c r="D31" s="28" t="inlineStr">
        <is>
          <t>Содержимое карточки товара в списке</t>
        </is>
      </c>
      <c r="E31" s="29" t="inlineStr">
        <is>
          <t>P2</t>
        </is>
      </c>
      <c r="F31" s="29" t="inlineStr">
        <is>
          <t>UI</t>
        </is>
      </c>
      <c r="G31" s="27" t="inlineStr">
        <is>
          <t>Пользователь авторизован как Мастер</t>
        </is>
      </c>
      <c r="H31" s="27" t="inlineStr">
        <is>
          <t>1. Осмотреть карточки на главной</t>
        </is>
      </c>
      <c r="I31" s="27" t="inlineStr"/>
      <c r="J31" s="27" t="inlineStr">
        <is>
          <t>У каждой карточки: изображение, название с ID, рейтинг и кол-во комментариев, цена в сумах, (если скидка) зачёркнутая старая цена и бейдж «-N%», кнопка корзины, сердечко</t>
        </is>
      </c>
      <c r="K31" s="27" t="inlineStr"/>
      <c r="L31" s="29" t="inlineStr">
        <is>
          <t>Да</t>
        </is>
      </c>
      <c r="M31" s="27" t="inlineStr"/>
      <c r="N31" s="29" t="inlineStr">
        <is>
          <t>Автоматизирован</t>
        </is>
      </c>
      <c r="O31" s="27" t="inlineStr">
        <is>
          <t>storefront/home/HomeTest#productCardContainsMainElements</t>
        </is>
      </c>
      <c r="P31" s="29" t="inlineStr">
        <is>
          <t>Не выполнен</t>
        </is>
      </c>
      <c r="Q31" s="27" t="inlineStr"/>
    </row>
    <row r="32" ht="34" customHeight="1">
      <c r="A32" s="26" t="inlineStr">
        <is>
          <t>HOME-007</t>
        </is>
      </c>
      <c r="B32" s="27" t="inlineStr">
        <is>
          <t>Главная страница</t>
        </is>
      </c>
      <c r="C32" s="27" t="inlineStr">
        <is>
          <t>Карточка товара</t>
        </is>
      </c>
      <c r="D32" s="28" t="inlineStr">
        <is>
          <t>Корректность процента скидки</t>
        </is>
      </c>
      <c r="E32" s="29" t="inlineStr">
        <is>
          <t>P2</t>
        </is>
      </c>
      <c r="F32" s="29" t="inlineStr">
        <is>
          <t>Functional</t>
        </is>
      </c>
      <c r="G32" s="27" t="inlineStr">
        <is>
          <t>Пользователь авторизован как Мастер</t>
        </is>
      </c>
      <c r="H32" s="27" t="inlineStr">
        <is>
          <t>1. Взять карточку со скидкой
2. Посчитать (старая − новая) / старая × 100</t>
        </is>
      </c>
      <c r="I32" s="27" t="inlineStr">
        <is>
          <t>Пример: 30 000 → 25 000 = -17%</t>
        </is>
      </c>
      <c r="J32" s="27" t="inlineStr">
        <is>
          <t>Бейдж совпадает с расчётом (с округлением)</t>
        </is>
      </c>
      <c r="K32" s="27" t="inlineStr"/>
      <c r="L32" s="29" t="inlineStr">
        <is>
          <t>Да</t>
        </is>
      </c>
      <c r="M32" s="27" t="inlineStr">
        <is>
          <t>Расчёт в коде теста</t>
        </is>
      </c>
      <c r="N32" s="29" t="inlineStr">
        <is>
          <t>Автоматизирован</t>
        </is>
      </c>
      <c r="O32" s="27" t="inlineStr">
        <is>
          <t>storefront/home/HomeTest#discountBadgeMatchesPrices</t>
        </is>
      </c>
      <c r="P32" s="29" t="inlineStr">
        <is>
          <t>Не выполнен</t>
        </is>
      </c>
      <c r="Q32" s="27" t="inlineStr"/>
    </row>
    <row r="33" ht="34" customHeight="1">
      <c r="A33" s="26" t="inlineStr">
        <is>
          <t>HOME-008</t>
        </is>
      </c>
      <c r="B33" s="27" t="inlineStr">
        <is>
          <t>Главная страница</t>
        </is>
      </c>
      <c r="C33" s="27" t="inlineStr">
        <is>
          <t>Карточка товара</t>
        </is>
      </c>
      <c r="D33" s="28" t="inlineStr">
        <is>
          <t>Клик по карточке открывает страницу товара</t>
        </is>
      </c>
      <c r="E33" s="29" t="inlineStr">
        <is>
          <t>P1</t>
        </is>
      </c>
      <c r="F33" s="29" t="inlineStr">
        <is>
          <t>Functional</t>
        </is>
      </c>
      <c r="G33" s="27" t="inlineStr">
        <is>
          <t>Пользователь авторизован как Мастер</t>
        </is>
      </c>
      <c r="H33" s="27" t="inlineStr">
        <is>
          <t>1. Нажать на название/изображение карточки</t>
        </is>
      </c>
      <c r="I33" s="27" t="inlineStr"/>
      <c r="J33" s="27" t="inlineStr">
        <is>
          <t>Открыта страница товара с тем же pvId и названием</t>
        </is>
      </c>
      <c r="K33" s="27" t="inlineStr"/>
      <c r="L33" s="29" t="inlineStr">
        <is>
          <t>Да</t>
        </is>
      </c>
      <c r="M33" s="27" t="inlineStr"/>
      <c r="N33" s="29" t="inlineStr">
        <is>
          <t>Автоматизирован</t>
        </is>
      </c>
      <c r="O33" s="27" t="inlineStr">
        <is>
          <t>storefront/home/HomeTest#clickingCardOpensProductPage</t>
        </is>
      </c>
      <c r="P33" s="29" t="inlineStr">
        <is>
          <t>Не выполнен</t>
        </is>
      </c>
      <c r="Q33" s="27" t="inlineStr"/>
    </row>
    <row r="34" ht="48" customHeight="1">
      <c r="A34" s="30" t="inlineStr">
        <is>
          <t>CAT-001</t>
        </is>
      </c>
      <c r="B34" s="31" t="inlineStr">
        <is>
          <t>Каталог, категории и фильтры</t>
        </is>
      </c>
      <c r="C34" s="31" t="inlineStr">
        <is>
          <t>Меню каталога</t>
        </is>
      </c>
      <c r="D34" s="32" t="inlineStr">
        <is>
          <t>Открытие меню «Каталог»</t>
        </is>
      </c>
      <c r="E34" s="33" t="inlineStr">
        <is>
          <t>P1</t>
        </is>
      </c>
      <c r="F34" s="33" t="inlineStr">
        <is>
          <t>Smoke</t>
        </is>
      </c>
      <c r="G34" s="31" t="inlineStr">
        <is>
          <t>Пользователь авторизован как Мастер</t>
        </is>
      </c>
      <c r="H34" s="31" t="inlineStr">
        <is>
          <t>1. Нажать «Каталог» в шапке</t>
        </is>
      </c>
      <c r="I34" s="31" t="inlineStr"/>
      <c r="J34" s="31" t="inlineStr">
        <is>
          <t>Открыто меню: слева список категорий, справа плитки категорий с количеством разделов; иконки отображаются</t>
        </is>
      </c>
      <c r="K34" s="31" t="inlineStr"/>
      <c r="L34" s="33" t="inlineStr">
        <is>
          <t>Да</t>
        </is>
      </c>
      <c r="M34" s="31" t="inlineStr"/>
      <c r="N34" s="33" t="inlineStr">
        <is>
          <t>Автоматизирован</t>
        </is>
      </c>
      <c r="O34" s="31" t="inlineStr">
        <is>
          <t>storefront/catalog/CatalogTest#catalogMenuOpensWithCategories</t>
        </is>
      </c>
      <c r="P34" s="33" t="inlineStr">
        <is>
          <t>Не выполнен</t>
        </is>
      </c>
      <c r="Q34" s="31" t="inlineStr"/>
    </row>
    <row r="35" ht="48" customHeight="1">
      <c r="A35" s="30" t="inlineStr">
        <is>
          <t>CAT-002</t>
        </is>
      </c>
      <c r="B35" s="31" t="inlineStr">
        <is>
          <t>Каталог, категории и фильтры</t>
        </is>
      </c>
      <c r="C35" s="31" t="inlineStr">
        <is>
          <t>Меню каталога</t>
        </is>
      </c>
      <c r="D35" s="32" t="inlineStr">
        <is>
          <t>Навигация по подкатегориям</t>
        </is>
      </c>
      <c r="E35" s="33" t="inlineStr">
        <is>
          <t>P2</t>
        </is>
      </c>
      <c r="F35" s="33" t="inlineStr">
        <is>
          <t>Functional</t>
        </is>
      </c>
      <c r="G35" s="31" t="inlineStr">
        <is>
          <t>Пользователь авторизован как Мастер</t>
        </is>
      </c>
      <c r="H35" s="31" t="inlineStr">
        <is>
          <t>1. Открыть «Каталог»
2. Навести/нажать на категорию слева (например, «Запчасти для телефонов»)</t>
        </is>
      </c>
      <c r="I35" s="31" t="inlineStr"/>
      <c r="J35" s="31" t="inlineStr">
        <is>
          <t>Отображаются подкатегории выбранной категории</t>
        </is>
      </c>
      <c r="K35" s="31" t="inlineStr"/>
      <c r="L35" s="33" t="inlineStr">
        <is>
          <t>Да</t>
        </is>
      </c>
      <c r="M35" s="31" t="inlineStr">
        <is>
          <t>Структура подменю категорий требует разведки (глубина вложенности меняется)</t>
        </is>
      </c>
      <c r="N35" s="33" t="inlineStr">
        <is>
          <t>Не автоматизирован</t>
        </is>
      </c>
      <c r="O35" s="31" t="inlineStr"/>
      <c r="P35" s="33" t="inlineStr">
        <is>
          <t>Не выполнен</t>
        </is>
      </c>
      <c r="Q35" s="31" t="inlineStr"/>
    </row>
    <row r="36" ht="48" customHeight="1">
      <c r="A36" s="30" t="inlineStr">
        <is>
          <t>CAT-003</t>
        </is>
      </c>
      <c r="B36" s="31" t="inlineStr">
        <is>
          <t>Каталог, категории и фильтры</t>
        </is>
      </c>
      <c r="C36" s="31" t="inlineStr">
        <is>
          <t>Страница категории</t>
        </is>
      </c>
      <c r="D36" s="32" t="inlineStr">
        <is>
          <t>Переход в категорию</t>
        </is>
      </c>
      <c r="E36" s="33" t="inlineStr">
        <is>
          <t>P1</t>
        </is>
      </c>
      <c r="F36" s="33" t="inlineStr">
        <is>
          <t>Smoke</t>
        </is>
      </c>
      <c r="G36" s="31" t="inlineStr">
        <is>
          <t>Пользователь авторизован как Мастер</t>
        </is>
      </c>
      <c r="H36" s="31" t="inlineStr">
        <is>
          <t>1. Открыть «Каталог»
2. Выбрать «Запчасти для телефонов»</t>
        </is>
      </c>
      <c r="I36" s="31" t="inlineStr"/>
      <c r="J36" s="31" t="inlineStr">
        <is>
          <t>Открыта /ru/filter?categories=45, заголовок категории, хлебные крошки, фильтры, товары только этой категории</t>
        </is>
      </c>
      <c r="K36" s="31" t="inlineStr"/>
      <c r="L36" s="33" t="inlineStr">
        <is>
          <t>Да</t>
        </is>
      </c>
      <c r="M36" s="31" t="inlineStr">
        <is>
          <t>Структура подменю категорий требует разведки</t>
        </is>
      </c>
      <c r="N36" s="33" t="inlineStr">
        <is>
          <t>Не автоматизирован</t>
        </is>
      </c>
      <c r="O36" s="31" t="inlineStr"/>
      <c r="P36" s="33" t="inlineStr">
        <is>
          <t>Не выполнен</t>
        </is>
      </c>
      <c r="Q36" s="31" t="inlineStr"/>
    </row>
    <row r="37" ht="48" customHeight="1">
      <c r="A37" s="30" t="inlineStr">
        <is>
          <t>CAT-004</t>
        </is>
      </c>
      <c r="B37" s="31" t="inlineStr">
        <is>
          <t>Каталог, категории и фильтры</t>
        </is>
      </c>
      <c r="C37" s="31" t="inlineStr">
        <is>
          <t>Фильтры</t>
        </is>
      </c>
      <c r="D37" s="32" t="inlineStr">
        <is>
          <t>Фильтр по цене (ввод значений)</t>
        </is>
      </c>
      <c r="E37" s="33" t="inlineStr">
        <is>
          <t>P1</t>
        </is>
      </c>
      <c r="F37" s="33" t="inlineStr">
        <is>
          <t>Functional</t>
        </is>
      </c>
      <c r="G37" s="31" t="inlineStr">
        <is>
          <t>Пользователь авторизован как Мастер</t>
        </is>
      </c>
      <c r="H37" s="31" t="inlineStr">
        <is>
          <t>1. Открыть категорию
2. Ввести «от» и «до» в фильтре «Цена»
3. Применить («Показать»)</t>
        </is>
      </c>
      <c r="I37" s="31" t="inlineStr">
        <is>
          <t>От 5 000 до 10 000</t>
        </is>
      </c>
      <c r="J37" s="31" t="inlineStr">
        <is>
          <t>Все товары в выдаче имеют цену в заданном диапазоне</t>
        </is>
      </c>
      <c r="K37" s="31" t="inlineStr"/>
      <c r="L37" s="33" t="inlineStr">
        <is>
          <t>Да</t>
        </is>
      </c>
      <c r="M37" s="31" t="inlineStr">
        <is>
          <t>Проверен ввод значения «от»; поле «до» — вручную</t>
        </is>
      </c>
      <c r="N37" s="33" t="inlineStr">
        <is>
          <t>Частично автоматизирован</t>
        </is>
      </c>
      <c r="O37" s="31" t="inlineStr">
        <is>
          <t>storefront/catalog/CatalogTest#priceFromFilterWorks</t>
        </is>
      </c>
      <c r="P37" s="33" t="inlineStr">
        <is>
          <t>Не выполнен</t>
        </is>
      </c>
      <c r="Q37" s="31" t="inlineStr"/>
    </row>
    <row r="38" ht="34" customHeight="1">
      <c r="A38" s="30" t="inlineStr">
        <is>
          <t>CAT-005</t>
        </is>
      </c>
      <c r="B38" s="31" t="inlineStr">
        <is>
          <t>Каталог, категории и фильтры</t>
        </is>
      </c>
      <c r="C38" s="31" t="inlineStr">
        <is>
          <t>Фильтры</t>
        </is>
      </c>
      <c r="D38" s="32" t="inlineStr">
        <is>
          <t>Фильтр по цене (ползунок)</t>
        </is>
      </c>
      <c r="E38" s="33" t="inlineStr">
        <is>
          <t>P2</t>
        </is>
      </c>
      <c r="F38" s="33" t="inlineStr">
        <is>
          <t>Functional</t>
        </is>
      </c>
      <c r="G38" s="31" t="inlineStr">
        <is>
          <t>Пользователь авторизован как Мастер</t>
        </is>
      </c>
      <c r="H38" s="31" t="inlineStr">
        <is>
          <t>1. Перетащить левый и правый ползунки цены</t>
        </is>
      </c>
      <c r="I38" s="31" t="inlineStr"/>
      <c r="J38" s="31" t="inlineStr">
        <is>
          <t>Значения в полях синхронизируются с ползунком, выдача обновляется</t>
        </is>
      </c>
      <c r="K38" s="31" t="inlineStr"/>
      <c r="L38" s="33" t="inlineStr">
        <is>
          <t>Частично</t>
        </is>
      </c>
      <c r="M38" s="31" t="inlineStr">
        <is>
          <t>Ползунок цены — drag-and-drop, нестабилен; значения проверены в CAT-004</t>
        </is>
      </c>
      <c r="N38" s="33" t="inlineStr">
        <is>
          <t>Не автоматизирован</t>
        </is>
      </c>
      <c r="O38" s="31" t="inlineStr"/>
      <c r="P38" s="33" t="inlineStr">
        <is>
          <t>Не выполнен</t>
        </is>
      </c>
      <c r="Q38" s="31" t="inlineStr"/>
    </row>
    <row r="39" ht="34" customHeight="1">
      <c r="A39" s="30" t="inlineStr">
        <is>
          <t>CAT-006</t>
        </is>
      </c>
      <c r="B39" s="31" t="inlineStr">
        <is>
          <t>Каталог, категории и фильтры</t>
        </is>
      </c>
      <c r="C39" s="31" t="inlineStr">
        <is>
          <t>Фильтры</t>
        </is>
      </c>
      <c r="D39" s="32" t="inlineStr">
        <is>
          <t>Цена «от» больше цены «до»</t>
        </is>
      </c>
      <c r="E39" s="33" t="inlineStr">
        <is>
          <t>P3</t>
        </is>
      </c>
      <c r="F39" s="33" t="inlineStr">
        <is>
          <t>Negative</t>
        </is>
      </c>
      <c r="G39" s="31" t="inlineStr">
        <is>
          <t>Пользователь авторизован как Мастер</t>
        </is>
      </c>
      <c r="H39" s="31" t="inlineStr">
        <is>
          <t>1. Ввести «от» = 100 000, «до» = 1 000</t>
        </is>
      </c>
      <c r="I39" s="31" t="inlineStr"/>
      <c r="J39" s="31" t="inlineStr">
        <is>
          <t>Значения автоматически корректируются или показана ошибка; страница не ломается</t>
        </is>
      </c>
      <c r="K39" s="31" t="inlineStr"/>
      <c r="L39" s="33" t="inlineStr">
        <is>
          <t>Да</t>
        </is>
      </c>
      <c r="M39" s="31" t="inlineStr"/>
      <c r="N39" s="33" t="inlineStr">
        <is>
          <t>Автоматизирован</t>
        </is>
      </c>
      <c r="O39" s="31" t="inlineStr">
        <is>
          <t>storefront/catalog/CatalogTest#priceFromGreaterThanToDoesNotBreakPage</t>
        </is>
      </c>
      <c r="P39" s="33" t="inlineStr">
        <is>
          <t>Не выполнен</t>
        </is>
      </c>
      <c r="Q39" s="31" t="inlineStr"/>
    </row>
    <row r="40" ht="34" customHeight="1">
      <c r="A40" s="30" t="inlineStr">
        <is>
          <t>CAT-007</t>
        </is>
      </c>
      <c r="B40" s="31" t="inlineStr">
        <is>
          <t>Каталог, категории и фильтры</t>
        </is>
      </c>
      <c r="C40" s="31" t="inlineStr">
        <is>
          <t>Фильтры</t>
        </is>
      </c>
      <c r="D40" s="32" t="inlineStr">
        <is>
          <t>Тумблер «Только в наличии»</t>
        </is>
      </c>
      <c r="E40" s="33" t="inlineStr">
        <is>
          <t>P1</t>
        </is>
      </c>
      <c r="F40" s="33" t="inlineStr">
        <is>
          <t>Functional</t>
        </is>
      </c>
      <c r="G40" s="31" t="inlineStr">
        <is>
          <t>Пользователь авторизован как Мастер</t>
        </is>
      </c>
      <c r="H40" s="31" t="inlineStr">
        <is>
          <t>1. Открыть категорию
2. Включить «Только в наличии»</t>
        </is>
      </c>
      <c r="I40" s="31" t="inlineStr"/>
      <c r="J40" s="31" t="inlineStr">
        <is>
          <t>В выдаче нет карточек с меткой «Нет в наличии»; при выключении такие товары снова видны</t>
        </is>
      </c>
      <c r="K40" s="31" t="inlineStr"/>
      <c r="L40" s="33" t="inlineStr">
        <is>
          <t>Да</t>
        </is>
      </c>
      <c r="M40" s="31" t="inlineStr"/>
      <c r="N40" s="33" t="inlineStr">
        <is>
          <t>Автоматизирован</t>
        </is>
      </c>
      <c r="O40" s="31" t="inlineStr">
        <is>
          <t>storefront/catalog/CatalogTest#inStockToggleSwitches</t>
        </is>
      </c>
      <c r="P40" s="33" t="inlineStr">
        <is>
          <t>Не выполнен</t>
        </is>
      </c>
      <c r="Q40" s="31" t="inlineStr"/>
    </row>
    <row r="41" ht="34" customHeight="1">
      <c r="A41" s="30" t="inlineStr">
        <is>
          <t>CAT-008</t>
        </is>
      </c>
      <c r="B41" s="31" t="inlineStr">
        <is>
          <t>Каталог, категории и фильтры</t>
        </is>
      </c>
      <c r="C41" s="31" t="inlineStr">
        <is>
          <t>Фильтры</t>
        </is>
      </c>
      <c r="D41" s="32" t="inlineStr">
        <is>
          <t>«Очистить все фильтры»</t>
        </is>
      </c>
      <c r="E41" s="33" t="inlineStr">
        <is>
          <t>P2</t>
        </is>
      </c>
      <c r="F41" s="33" t="inlineStr">
        <is>
          <t>Functional</t>
        </is>
      </c>
      <c r="G41" s="31" t="inlineStr">
        <is>
          <t>Пользователь авторизован как Мастер</t>
        </is>
      </c>
      <c r="H41" s="31" t="inlineStr">
        <is>
          <t>1. Применить фильтр цены и «Только в наличии»
2. Нажать «Очистить все фильтры»</t>
        </is>
      </c>
      <c r="I41" s="31" t="inlineStr"/>
      <c r="J41" s="31" t="inlineStr">
        <is>
          <t>Все фильтры сброшены, выдача вернулась к исходной</t>
        </is>
      </c>
      <c r="K41" s="31" t="inlineStr"/>
      <c r="L41" s="33" t="inlineStr">
        <is>
          <t>Да</t>
        </is>
      </c>
      <c r="M41" s="31" t="inlineStr"/>
      <c r="N41" s="33" t="inlineStr">
        <is>
          <t>Автоматизирован</t>
        </is>
      </c>
      <c r="O41" s="31" t="inlineStr">
        <is>
          <t>storefront/catalog/CatalogTest#clearAllFiltersResetsSelection</t>
        </is>
      </c>
      <c r="P41" s="33" t="inlineStr">
        <is>
          <t>Не выполнен</t>
        </is>
      </c>
      <c r="Q41" s="31" t="inlineStr"/>
    </row>
    <row r="42" ht="34" customHeight="1">
      <c r="A42" s="30" t="inlineStr">
        <is>
          <t>CAT-009</t>
        </is>
      </c>
      <c r="B42" s="31" t="inlineStr">
        <is>
          <t>Каталог, категории и фильтры</t>
        </is>
      </c>
      <c r="C42" s="31" t="inlineStr">
        <is>
          <t>Сортировка</t>
        </is>
      </c>
      <c r="D42" s="32" t="inlineStr">
        <is>
          <t>Сортировка «Сначала дешевые»</t>
        </is>
      </c>
      <c r="E42" s="33" t="inlineStr">
        <is>
          <t>P2</t>
        </is>
      </c>
      <c r="F42" s="33" t="inlineStr">
        <is>
          <t>Functional</t>
        </is>
      </c>
      <c r="G42" s="31" t="inlineStr">
        <is>
          <t>Пользователь авторизован как Мастер</t>
        </is>
      </c>
      <c r="H42" s="31" t="inlineStr">
        <is>
          <t>1. Открыть категорию
2. В «Сортировка» выбрать «Сначала дешевые»</t>
        </is>
      </c>
      <c r="I42" s="31" t="inlineStr"/>
      <c r="J42" s="31" t="inlineStr">
        <is>
          <t>Цены в выдаче идут по возрастанию</t>
        </is>
      </c>
      <c r="K42" s="31" t="inlineStr"/>
      <c r="L42" s="33" t="inlineStr">
        <is>
          <t>Да</t>
        </is>
      </c>
      <c r="M42" s="31" t="inlineStr"/>
      <c r="N42" s="33" t="inlineStr">
        <is>
          <t>Автоматизирован</t>
        </is>
      </c>
      <c r="O42" s="31" t="inlineStr">
        <is>
          <t>storefront/catalog/CatalogTest#sortingCheapFirst</t>
        </is>
      </c>
      <c r="P42" s="33" t="inlineStr">
        <is>
          <t>Не выполнен</t>
        </is>
      </c>
      <c r="Q42" s="31" t="inlineStr"/>
    </row>
    <row r="43" ht="34" customHeight="1">
      <c r="A43" s="30" t="inlineStr">
        <is>
          <t>CAT-010</t>
        </is>
      </c>
      <c r="B43" s="31" t="inlineStr">
        <is>
          <t>Каталог, категории и фильтры</t>
        </is>
      </c>
      <c r="C43" s="31" t="inlineStr">
        <is>
          <t>Сортировка</t>
        </is>
      </c>
      <c r="D43" s="32" t="inlineStr">
        <is>
          <t>Сортировка «Сначала дорогие»</t>
        </is>
      </c>
      <c r="E43" s="33" t="inlineStr">
        <is>
          <t>P2</t>
        </is>
      </c>
      <c r="F43" s="33" t="inlineStr">
        <is>
          <t>Functional</t>
        </is>
      </c>
      <c r="G43" s="31" t="inlineStr">
        <is>
          <t>Пользователь авторизован как Мастер</t>
        </is>
      </c>
      <c r="H43" s="31" t="inlineStr">
        <is>
          <t>1. Выбрать «Сначала дорогие»</t>
        </is>
      </c>
      <c r="I43" s="31" t="inlineStr"/>
      <c r="J43" s="31" t="inlineStr">
        <is>
          <t>Цены в выдаче идут по убыванию</t>
        </is>
      </c>
      <c r="K43" s="31" t="inlineStr"/>
      <c r="L43" s="33" t="inlineStr">
        <is>
          <t>Да</t>
        </is>
      </c>
      <c r="M43" s="31" t="inlineStr"/>
      <c r="N43" s="33" t="inlineStr">
        <is>
          <t>Автоматизирован</t>
        </is>
      </c>
      <c r="O43" s="31" t="inlineStr">
        <is>
          <t>storefront/catalog/CatalogTest#sortingExpensiveFirst</t>
        </is>
      </c>
      <c r="P43" s="33" t="inlineStr">
        <is>
          <t>Не выполнен</t>
        </is>
      </c>
      <c r="Q43" s="31" t="inlineStr"/>
    </row>
    <row r="44" ht="34" customHeight="1">
      <c r="A44" s="30" t="inlineStr">
        <is>
          <t>CAT-011</t>
        </is>
      </c>
      <c r="B44" s="31" t="inlineStr">
        <is>
          <t>Каталог, категории и фильтры</t>
        </is>
      </c>
      <c r="C44" s="31" t="inlineStr">
        <is>
          <t>Сортировка</t>
        </is>
      </c>
      <c r="D44" s="32" t="inlineStr">
        <is>
          <t>Сортировка «Сначала новые» / «Сначала старые»</t>
        </is>
      </c>
      <c r="E44" s="33" t="inlineStr">
        <is>
          <t>P3</t>
        </is>
      </c>
      <c r="F44" s="33" t="inlineStr">
        <is>
          <t>Functional</t>
        </is>
      </c>
      <c r="G44" s="31" t="inlineStr">
        <is>
          <t>Пользователь авторизован как Мастер</t>
        </is>
      </c>
      <c r="H44" s="31" t="inlineStr">
        <is>
          <t>1. Выбрать «Сначала новые»
2. Выбрать «Сначала старые»</t>
        </is>
      </c>
      <c r="I44" s="31" t="inlineStr"/>
      <c r="J44" s="31" t="inlineStr">
        <is>
          <t>Порядок товаров меняется (ID товаров по убыванию / возрастанию)</t>
        </is>
      </c>
      <c r="K44" s="31" t="inlineStr"/>
      <c r="L44" s="33" t="inlineStr">
        <is>
          <t>Частично</t>
        </is>
      </c>
      <c r="M44" s="31" t="inlineStr">
        <is>
          <t>Сортировки «старые/новые» зависят от дат в данных</t>
        </is>
      </c>
      <c r="N44" s="33" t="inlineStr">
        <is>
          <t>Не автоматизирован</t>
        </is>
      </c>
      <c r="O44" s="31" t="inlineStr"/>
      <c r="P44" s="33" t="inlineStr">
        <is>
          <t>Не выполнен</t>
        </is>
      </c>
      <c r="Q44" s="31" t="inlineStr"/>
    </row>
    <row r="45" ht="34" customHeight="1">
      <c r="A45" s="30" t="inlineStr">
        <is>
          <t>CAT-012</t>
        </is>
      </c>
      <c r="B45" s="31" t="inlineStr">
        <is>
          <t>Каталог, категории и фильтры</t>
        </is>
      </c>
      <c r="C45" s="31" t="inlineStr">
        <is>
          <t>Выдача</t>
        </is>
      </c>
      <c r="D45" s="32" t="inlineStr">
        <is>
          <t>Подгрузка товаров при прокрутке</t>
        </is>
      </c>
      <c r="E45" s="33" t="inlineStr">
        <is>
          <t>P2</t>
        </is>
      </c>
      <c r="F45" s="33" t="inlineStr">
        <is>
          <t>Functional</t>
        </is>
      </c>
      <c r="G45" s="31" t="inlineStr">
        <is>
          <t>Пользователь авторизован как Мастер</t>
        </is>
      </c>
      <c r="H45" s="31" t="inlineStr">
        <is>
          <t>1. Открыть категорию с большим количеством товаров
2. Прокрутить до конца страницы</t>
        </is>
      </c>
      <c r="I45" s="31" t="inlineStr"/>
      <c r="J45" s="31" t="inlineStr">
        <is>
          <t>Подгружается следующая порция товаров, дубликатов нет</t>
        </is>
      </c>
      <c r="K45" s="31" t="inlineStr"/>
      <c r="L45" s="33" t="inlineStr">
        <is>
          <t>Да</t>
        </is>
      </c>
      <c r="M45" s="31" t="inlineStr"/>
      <c r="N45" s="33" t="inlineStr">
        <is>
          <t>Автоматизирован</t>
        </is>
      </c>
      <c r="O45" s="31" t="inlineStr">
        <is>
          <t>storefront/catalog/CatalogTest#showMoreLoadsNextPage</t>
        </is>
      </c>
      <c r="P45" s="33" t="inlineStr">
        <is>
          <t>Не выполнен</t>
        </is>
      </c>
      <c r="Q45" s="31" t="inlineStr"/>
    </row>
    <row r="46" ht="34" customHeight="1">
      <c r="A46" s="30" t="inlineStr">
        <is>
          <t>CAT-013</t>
        </is>
      </c>
      <c r="B46" s="31" t="inlineStr">
        <is>
          <t>Каталог, категории и фильтры</t>
        </is>
      </c>
      <c r="C46" s="31" t="inlineStr">
        <is>
          <t>Выдача</t>
        </is>
      </c>
      <c r="D46" s="32" t="inlineStr">
        <is>
          <t>Товар «Нет в наличии» в списке</t>
        </is>
      </c>
      <c r="E46" s="33" t="inlineStr">
        <is>
          <t>P1</t>
        </is>
      </c>
      <c r="F46" s="33" t="inlineStr">
        <is>
          <t>Functional</t>
        </is>
      </c>
      <c r="G46" s="31" t="inlineStr">
        <is>
          <t>Пользователь авторизован как Мастер</t>
        </is>
      </c>
      <c r="H46" s="31" t="inlineStr">
        <is>
          <t>1. Найти карточку с меткой «Нет в наличии»</t>
        </is>
      </c>
      <c r="I46" s="31" t="inlineStr"/>
      <c r="J46" s="31" t="inlineStr">
        <is>
          <t>Кнопка добавления в корзину неактивна (серая), товар добавить нельзя</t>
        </is>
      </c>
      <c r="K46" s="31" t="inlineStr"/>
      <c r="L46" s="33" t="inlineStr">
        <is>
          <t>Да</t>
        </is>
      </c>
      <c r="M46" s="31" t="inlineStr">
        <is>
          <t>Нужен заведомо отсутствующий на складе товар — данные нестабильны</t>
        </is>
      </c>
      <c r="N46" s="33" t="inlineStr">
        <is>
          <t>Не автоматизирован</t>
        </is>
      </c>
      <c r="O46" s="31" t="inlineStr"/>
      <c r="P46" s="33" t="inlineStr">
        <is>
          <t>Не выполнен</t>
        </is>
      </c>
      <c r="Q46" s="31" t="inlineStr"/>
    </row>
    <row r="47" ht="34" customHeight="1">
      <c r="A47" s="30" t="inlineStr">
        <is>
          <t>CAT-014</t>
        </is>
      </c>
      <c r="B47" s="31" t="inlineStr">
        <is>
          <t>Каталог, категории и фильтры</t>
        </is>
      </c>
      <c r="C47" s="31" t="inlineStr">
        <is>
          <t>Выдача</t>
        </is>
      </c>
      <c r="D47" s="32" t="inlineStr">
        <is>
          <t>Быстрый просмотр товара</t>
        </is>
      </c>
      <c r="E47" s="33" t="inlineStr">
        <is>
          <t>P3</t>
        </is>
      </c>
      <c r="F47" s="33" t="inlineStr">
        <is>
          <t>Functional</t>
        </is>
      </c>
      <c r="G47" s="31" t="inlineStr">
        <is>
          <t>Пользователь авторизован как Мастер</t>
        </is>
      </c>
      <c r="H47" s="31" t="inlineStr">
        <is>
          <t>1. Навести на карточку
2. Нажать «Быстрый просмотр»</t>
        </is>
      </c>
      <c r="I47" s="31" t="inlineStr"/>
      <c r="J47" s="31" t="inlineStr">
        <is>
          <t>Открыто окно с основной информацией о товаре, его можно закрыть</t>
        </is>
      </c>
      <c r="K47" s="31" t="inlineStr"/>
      <c r="L47" s="33" t="inlineStr">
        <is>
          <t>Да</t>
        </is>
      </c>
      <c r="M47" s="31" t="inlineStr">
        <is>
          <t>«Быстрый просмотр» появляется только при наведении — нужен отдельный разбор</t>
        </is>
      </c>
      <c r="N47" s="33" t="inlineStr">
        <is>
          <t>Не автоматизирован</t>
        </is>
      </c>
      <c r="O47" s="31" t="inlineStr"/>
      <c r="P47" s="33" t="inlineStr">
        <is>
          <t>Не выполнен</t>
        </is>
      </c>
      <c r="Q47" s="31" t="inlineStr"/>
    </row>
    <row r="48" ht="34" customHeight="1">
      <c r="A48" s="30" t="inlineStr">
        <is>
          <t>CAT-015</t>
        </is>
      </c>
      <c r="B48" s="31" t="inlineStr">
        <is>
          <t>Каталог, категории и фильтры</t>
        </is>
      </c>
      <c r="C48" s="31" t="inlineStr">
        <is>
          <t>Выдача</t>
        </is>
      </c>
      <c r="D48" s="32" t="inlineStr">
        <is>
          <t>Фильтры и сортировка сохраняются после перезагрузки</t>
        </is>
      </c>
      <c r="E48" s="33" t="inlineStr">
        <is>
          <t>P3</t>
        </is>
      </c>
      <c r="F48" s="33" t="inlineStr">
        <is>
          <t>Functional</t>
        </is>
      </c>
      <c r="G48" s="31" t="inlineStr">
        <is>
          <t>Пользователь авторизован как Мастер</t>
        </is>
      </c>
      <c r="H48" s="31" t="inlineStr">
        <is>
          <t>1. Применить фильтр и сортировку
2. Обновить страницу</t>
        </is>
      </c>
      <c r="I48" s="31" t="inlineStr"/>
      <c r="J48" s="31" t="inlineStr">
        <is>
          <t>Параметры отражены в URL и восстановлены после перезагрузки</t>
        </is>
      </c>
      <c r="K48" s="31" t="inlineStr"/>
      <c r="L48" s="33" t="inlineStr">
        <is>
          <t>Да</t>
        </is>
      </c>
      <c r="M48" s="31" t="inlineStr"/>
      <c r="N48" s="33" t="inlineStr">
        <is>
          <t>Автоматизирован</t>
        </is>
      </c>
      <c r="O48" s="31" t="inlineStr">
        <is>
          <t>storefront/catalog/CatalogTest#filtersSurviveReload</t>
        </is>
      </c>
      <c r="P48" s="33" t="inlineStr">
        <is>
          <t>Не выполнен</t>
        </is>
      </c>
      <c r="Q48" s="31" t="inlineStr"/>
    </row>
    <row r="49" ht="34" customHeight="1">
      <c r="A49" s="30" t="inlineStr">
        <is>
          <t>CAT-016</t>
        </is>
      </c>
      <c r="B49" s="31" t="inlineStr">
        <is>
          <t>Каталог, категории и фильтры</t>
        </is>
      </c>
      <c r="C49" s="31" t="inlineStr">
        <is>
          <t>Выдача</t>
        </is>
      </c>
      <c r="D49" s="32" t="inlineStr">
        <is>
          <t>Пустая выдача по фильтру</t>
        </is>
      </c>
      <c r="E49" s="33" t="inlineStr">
        <is>
          <t>P3</t>
        </is>
      </c>
      <c r="F49" s="33" t="inlineStr">
        <is>
          <t>Functional</t>
        </is>
      </c>
      <c r="G49" s="31" t="inlineStr">
        <is>
          <t>Пользователь авторизован как Мастер</t>
        </is>
      </c>
      <c r="H49" s="31" t="inlineStr">
        <is>
          <t>1. Задать фильтр цены, под который нет товаров</t>
        </is>
      </c>
      <c r="I49" s="31" t="inlineStr"/>
      <c r="J49" s="31" t="inlineStr">
        <is>
          <t>Показано понятное сообщение об отсутствии товаров, кнопка сброса фильтров</t>
        </is>
      </c>
      <c r="K49" s="31" t="inlineStr"/>
      <c r="L49" s="33" t="inlineStr">
        <is>
          <t>Да</t>
        </is>
      </c>
      <c r="M49" s="31" t="inlineStr"/>
      <c r="N49" s="33" t="inlineStr">
        <is>
          <t>Автоматизирован</t>
        </is>
      </c>
      <c r="O49" s="31" t="inlineStr">
        <is>
          <t>storefront/catalog/CatalogTest#emptyResultShowsMessageAndShowAll</t>
        </is>
      </c>
      <c r="P49" s="33" t="inlineStr">
        <is>
          <t>Не выполнен</t>
        </is>
      </c>
      <c r="Q49" s="31" t="inlineStr"/>
    </row>
    <row r="50" ht="34" customHeight="1">
      <c r="A50" s="30" t="inlineStr">
        <is>
          <t>CAT-017</t>
        </is>
      </c>
      <c r="B50" s="31" t="inlineStr">
        <is>
          <t>Каталог, категории и фильтры</t>
        </is>
      </c>
      <c r="C50" s="31" t="inlineStr">
        <is>
          <t>Навигация</t>
        </is>
      </c>
      <c r="D50" s="32" t="inlineStr">
        <is>
          <t>Хлебные крошки в категории</t>
        </is>
      </c>
      <c r="E50" s="33" t="inlineStr">
        <is>
          <t>P3</t>
        </is>
      </c>
      <c r="F50" s="33" t="inlineStr">
        <is>
          <t>UI</t>
        </is>
      </c>
      <c r="G50" s="31" t="inlineStr">
        <is>
          <t>Пользователь авторизован как Мастер</t>
        </is>
      </c>
      <c r="H50" s="31" t="inlineStr">
        <is>
          <t>1. Перейти в подкатегорию 3-го уровня
2. Нажать на родительскую категорию в крошках</t>
        </is>
      </c>
      <c r="I50" s="31" t="inlineStr"/>
      <c r="J50" s="31" t="inlineStr">
        <is>
          <t>Открыта родительская категория</t>
        </is>
      </c>
      <c r="K50" s="31" t="inlineStr"/>
      <c r="L50" s="33" t="inlineStr">
        <is>
          <t>Да</t>
        </is>
      </c>
      <c r="M50" s="31" t="inlineStr"/>
      <c r="N50" s="33" t="inlineStr">
        <is>
          <t>Автоматизирован</t>
        </is>
      </c>
      <c r="O50" s="31" t="inlineStr">
        <is>
          <t>storefront/catalog/CatalogTest#breadcrumbsLeadHome</t>
        </is>
      </c>
      <c r="P50" s="33" t="inlineStr">
        <is>
          <t>Не выполнен</t>
        </is>
      </c>
      <c r="Q50" s="31" t="inlineStr"/>
    </row>
    <row r="51" ht="34" customHeight="1">
      <c r="A51" s="26" t="inlineStr">
        <is>
          <t>MDL-001</t>
        </is>
      </c>
      <c r="B51" s="27" t="inlineStr">
        <is>
          <t>Подбор по модели устройства</t>
        </is>
      </c>
      <c r="C51" s="27" t="inlineStr">
        <is>
          <t>Бренд</t>
        </is>
      </c>
      <c r="D51" s="28" t="inlineStr">
        <is>
          <t>Открытие окна «Выберите бренд»</t>
        </is>
      </c>
      <c r="E51" s="29" t="inlineStr">
        <is>
          <t>P2</t>
        </is>
      </c>
      <c r="F51" s="29" t="inlineStr">
        <is>
          <t>Functional</t>
        </is>
      </c>
      <c r="G51" s="27" t="inlineStr">
        <is>
          <t>Пользователь авторизован как Мастер</t>
        </is>
      </c>
      <c r="H51" s="27" t="inlineStr">
        <is>
          <t>1. Нажать «Модель» в шапке</t>
        </is>
      </c>
      <c r="I51" s="27" t="inlineStr"/>
      <c r="J51" s="27" t="inlineStr">
        <is>
          <t>Открыто окно со списком брендов (Samsung, Xiaomi, Apple…) и полем поиска</t>
        </is>
      </c>
      <c r="K51" s="27" t="inlineStr"/>
      <c r="L51" s="29" t="inlineStr">
        <is>
          <t>Да</t>
        </is>
      </c>
      <c r="M51" s="27" t="inlineStr"/>
      <c r="N51" s="29" t="inlineStr">
        <is>
          <t>Автоматизирован</t>
        </is>
      </c>
      <c r="O51" s="27" t="inlineStr">
        <is>
          <t>storefront/header/HeaderFooterTest#modelDialogShowsBrands</t>
        </is>
      </c>
      <c r="P51" s="29" t="inlineStr">
        <is>
          <t>Не выполнен</t>
        </is>
      </c>
      <c r="Q51" s="27" t="inlineStr"/>
    </row>
    <row r="52" ht="34" customHeight="1">
      <c r="A52" s="26" t="inlineStr">
        <is>
          <t>MDL-002</t>
        </is>
      </c>
      <c r="B52" s="27" t="inlineStr">
        <is>
          <t>Подбор по модели устройства</t>
        </is>
      </c>
      <c r="C52" s="27" t="inlineStr">
        <is>
          <t>Бренд</t>
        </is>
      </c>
      <c r="D52" s="28" t="inlineStr">
        <is>
          <t>Поиск бренда</t>
        </is>
      </c>
      <c r="E52" s="29" t="inlineStr">
        <is>
          <t>P3</t>
        </is>
      </c>
      <c r="F52" s="29" t="inlineStr">
        <is>
          <t>Functional</t>
        </is>
      </c>
      <c r="G52" s="27" t="inlineStr">
        <is>
          <t>Пользователь авторизован как Мастер</t>
        </is>
      </c>
      <c r="H52" s="27" t="inlineStr">
        <is>
          <t>1. Открыть окно «Модель»
2. Ввести «Xiao»</t>
        </is>
      </c>
      <c r="I52" s="27" t="inlineStr"/>
      <c r="J52" s="27" t="inlineStr">
        <is>
          <t>Список отфильтрован, виден Xiaomi</t>
        </is>
      </c>
      <c r="K52" s="27" t="inlineStr"/>
      <c r="L52" s="29" t="inlineStr">
        <is>
          <t>Да</t>
        </is>
      </c>
      <c r="M52" s="27" t="inlineStr"/>
      <c r="N52" s="29" t="inlineStr">
        <is>
          <t>Автоматизирован</t>
        </is>
      </c>
      <c r="O52" s="27" t="inlineStr">
        <is>
          <t>storefront/catalog/ModelPickerTest#brandSearchNarrowsList</t>
        </is>
      </c>
      <c r="P52" s="29" t="inlineStr">
        <is>
          <t>Не выполнен</t>
        </is>
      </c>
      <c r="Q52" s="27" t="inlineStr"/>
    </row>
    <row r="53" ht="34" customHeight="1">
      <c r="A53" s="26" t="inlineStr">
        <is>
          <t>MDL-003</t>
        </is>
      </c>
      <c r="B53" s="27" t="inlineStr">
        <is>
          <t>Подбор по модели устройства</t>
        </is>
      </c>
      <c r="C53" s="27" t="inlineStr">
        <is>
          <t>Модель</t>
        </is>
      </c>
      <c r="D53" s="28" t="inlineStr">
        <is>
          <t>Выбор бренда и поиск модели</t>
        </is>
      </c>
      <c r="E53" s="29" t="inlineStr">
        <is>
          <t>P2</t>
        </is>
      </c>
      <c r="F53" s="29" t="inlineStr">
        <is>
          <t>Functional</t>
        </is>
      </c>
      <c r="G53" s="27" t="inlineStr">
        <is>
          <t>Пользователь авторизован как Мастер</t>
        </is>
      </c>
      <c r="H53" s="27" t="inlineStr">
        <is>
          <t>1. Выбрать Samsung
2. Ввести в поиске «A52»</t>
        </is>
      </c>
      <c r="I53" s="27" t="inlineStr"/>
      <c r="J53" s="27" t="inlineStr">
        <is>
          <t>Открыт список моделей Samsung; поиск находит Galaxy A52 (A525)</t>
        </is>
      </c>
      <c r="K53" s="27" t="inlineStr"/>
      <c r="L53" s="29" t="inlineStr">
        <is>
          <t>Да</t>
        </is>
      </c>
      <c r="M53" s="27" t="inlineStr"/>
      <c r="N53" s="29" t="inlineStr">
        <is>
          <t>Автоматизирован</t>
        </is>
      </c>
      <c r="O53" s="27" t="inlineStr">
        <is>
          <t>storefront/catalog/ModelPickerTest#selectingBrandShowsModels</t>
        </is>
      </c>
      <c r="P53" s="29" t="inlineStr">
        <is>
          <t>Не выполнен</t>
        </is>
      </c>
      <c r="Q53" s="27" t="inlineStr"/>
    </row>
    <row r="54" ht="34" customHeight="1">
      <c r="A54" s="26" t="inlineStr">
        <is>
          <t>MDL-004</t>
        </is>
      </c>
      <c r="B54" s="27" t="inlineStr">
        <is>
          <t>Подбор по модели устройства</t>
        </is>
      </c>
      <c r="C54" s="27" t="inlineStr">
        <is>
          <t>Категория</t>
        </is>
      </c>
      <c r="D54" s="28" t="inlineStr">
        <is>
          <t>Выбор модели и категории запчастей → список товаров</t>
        </is>
      </c>
      <c r="E54" s="29" t="inlineStr">
        <is>
          <t>P1</t>
        </is>
      </c>
      <c r="F54" s="29" t="inlineStr">
        <is>
          <t>Functional</t>
        </is>
      </c>
      <c r="G54" s="27" t="inlineStr">
        <is>
          <t>Пользователь авторизован как Мастер</t>
        </is>
      </c>
      <c r="H54" s="27" t="inlineStr">
        <is>
          <t>1. «Модель» → Samsung → Galaxy A52 (A525)
2. Выбрать категорию «Дисплеи»</t>
        </is>
      </c>
      <c r="I54" s="27" t="inlineStr"/>
      <c r="J54" s="27" t="inlineStr">
        <is>
          <t>Открыта выдача товаров категории «Дисплеи», совместимых с Galaxy A52</t>
        </is>
      </c>
      <c r="K54" s="27" t="inlineStr"/>
      <c r="L54" s="29" t="inlineStr">
        <is>
          <t>Да</t>
        </is>
      </c>
      <c r="M54" s="27" t="inlineStr">
        <is>
          <t>Проверен путь Samsung → Galaxy → «Аккумуляторы»</t>
        </is>
      </c>
      <c r="N54" s="29" t="inlineStr">
        <is>
          <t>Частично автоматизирован</t>
        </is>
      </c>
      <c r="O54" s="27" t="inlineStr">
        <is>
          <t>storefront/catalog/ModelPickerTest#brandModelCategoryLeadsToProductList</t>
        </is>
      </c>
      <c r="P54" s="29" t="inlineStr">
        <is>
          <t>Не выполнен</t>
        </is>
      </c>
      <c r="Q54" s="27" t="inlineStr"/>
    </row>
    <row r="55" ht="48" customHeight="1">
      <c r="A55" s="26" t="inlineStr">
        <is>
          <t>MDL-005</t>
        </is>
      </c>
      <c r="B55" s="27" t="inlineStr">
        <is>
          <t>Подбор по модели устройства</t>
        </is>
      </c>
      <c r="C55" s="27" t="inlineStr">
        <is>
          <t>Навигация</t>
        </is>
      </c>
      <c r="D55" s="28" t="inlineStr">
        <is>
          <t>Кнопка «Назад» и закрытие окна</t>
        </is>
      </c>
      <c r="E55" s="29" t="inlineStr">
        <is>
          <t>P3</t>
        </is>
      </c>
      <c r="F55" s="29" t="inlineStr">
        <is>
          <t>UI</t>
        </is>
      </c>
      <c r="G55" s="27" t="inlineStr">
        <is>
          <t>Пользователь авторизован как Мастер</t>
        </is>
      </c>
      <c r="H55" s="27" t="inlineStr">
        <is>
          <t>1. Пройти бренд → модель
2. Нажать «←»
3. Нажать «×»</t>
        </is>
      </c>
      <c r="I55" s="27" t="inlineStr"/>
      <c r="J55" s="27" t="inlineStr">
        <is>
          <t>«←» возвращает на предыдущий шаг; «×» закрывает окно</t>
        </is>
      </c>
      <c r="K55" s="27" t="inlineStr"/>
      <c r="L55" s="29" t="inlineStr">
        <is>
          <t>Да</t>
        </is>
      </c>
      <c r="M55" s="27" t="inlineStr"/>
      <c r="N55" s="29" t="inlineStr">
        <is>
          <t>Автоматизирован</t>
        </is>
      </c>
      <c r="O55" s="27" t="inlineStr">
        <is>
          <t>storefront/catalog/ModelPickerTest#backAndCloseButtonsWork</t>
        </is>
      </c>
      <c r="P55" s="29" t="inlineStr">
        <is>
          <t>Не выполнен</t>
        </is>
      </c>
      <c r="Q55" s="27" t="inlineStr"/>
    </row>
    <row r="56" ht="48" customHeight="1">
      <c r="A56" s="30" t="inlineStr">
        <is>
          <t>SRCH-001</t>
        </is>
      </c>
      <c r="B56" s="31" t="inlineStr">
        <is>
          <t>Поиск</t>
        </is>
      </c>
      <c r="C56" s="31" t="inlineStr">
        <is>
          <t>Поиск</t>
        </is>
      </c>
      <c r="D56" s="32" t="inlineStr">
        <is>
          <t>Поиск по точному названию товара</t>
        </is>
      </c>
      <c r="E56" s="33" t="inlineStr">
        <is>
          <t>P1</t>
        </is>
      </c>
      <c r="F56" s="33" t="inlineStr">
        <is>
          <t>Smoke</t>
        </is>
      </c>
      <c r="G56" s="31" t="inlineStr">
        <is>
          <t>Пользователь авторизован как Мастер</t>
        </is>
      </c>
      <c r="H56" s="31" t="inlineStr">
        <is>
          <t>1. Ввести в поиск название реального товара
2. Нажать Enter</t>
        </is>
      </c>
      <c r="I56" s="31" t="inlineStr">
        <is>
          <t>Название берётся динамически с главной</t>
        </is>
      </c>
      <c r="J56" s="31" t="inlineStr">
        <is>
          <t>Товар найден в выдаче /ru/filter?query=...</t>
        </is>
      </c>
      <c r="K56" s="31" t="inlineStr"/>
      <c r="L56" s="33" t="inlineStr">
        <is>
          <t>Да</t>
        </is>
      </c>
      <c r="M56" s="31" t="inlineStr"/>
      <c r="N56" s="33" t="inlineStr">
        <is>
          <t>Автоматизирован</t>
        </is>
      </c>
      <c r="O56" s="31" t="inlineStr">
        <is>
          <t>storefront/catalog/SearchTest#searchingByRealProductNameFindsThatProduct</t>
        </is>
      </c>
      <c r="P56" s="33" t="inlineStr">
        <is>
          <t>Не выполнен</t>
        </is>
      </c>
      <c r="Q56" s="31" t="inlineStr"/>
    </row>
    <row r="57" ht="34" customHeight="1">
      <c r="A57" s="30" t="inlineStr">
        <is>
          <t>SRCH-002</t>
        </is>
      </c>
      <c r="B57" s="31" t="inlineStr">
        <is>
          <t>Поиск</t>
        </is>
      </c>
      <c r="C57" s="31" t="inlineStr">
        <is>
          <t>Поиск</t>
        </is>
      </c>
      <c r="D57" s="32" t="inlineStr">
        <is>
          <t>Все результаты релевантны запросу</t>
        </is>
      </c>
      <c r="E57" s="33" t="inlineStr">
        <is>
          <t>P2</t>
        </is>
      </c>
      <c r="F57" s="33" t="inlineStr">
        <is>
          <t>Functional</t>
        </is>
      </c>
      <c r="G57" s="31" t="inlineStr">
        <is>
          <t>Пользователь авторизован как Мастер</t>
        </is>
      </c>
      <c r="H57" s="31" t="inlineStr">
        <is>
          <t>1. Ввести запрос (например, «Samsung»)
2. Проверить названия всех карточек</t>
        </is>
      </c>
      <c r="I57" s="31" t="inlineStr"/>
      <c r="J57" s="31" t="inlineStr">
        <is>
          <t>Каждое название содержит запрос</t>
        </is>
      </c>
      <c r="K57" s="31" t="inlineStr"/>
      <c r="L57" s="33" t="inlineStr">
        <is>
          <t>Да</t>
        </is>
      </c>
      <c r="M57" s="31" t="inlineStr"/>
      <c r="N57" s="33" t="inlineStr">
        <is>
          <t>Автоматизирован</t>
        </is>
      </c>
      <c r="O57" s="31" t="inlineStr">
        <is>
          <t>storefront/catalog/SearchTest#searchResultsAreRelevantToQuery</t>
        </is>
      </c>
      <c r="P57" s="33" t="inlineStr">
        <is>
          <t>Не выполнен</t>
        </is>
      </c>
      <c r="Q57" s="31" t="inlineStr"/>
    </row>
    <row r="58" ht="34" customHeight="1">
      <c r="A58" s="30" t="inlineStr">
        <is>
          <t>SRCH-003</t>
        </is>
      </c>
      <c r="B58" s="31" t="inlineStr">
        <is>
          <t>Поиск</t>
        </is>
      </c>
      <c r="C58" s="31" t="inlineStr">
        <is>
          <t>Поиск</t>
        </is>
      </c>
      <c r="D58" s="32" t="inlineStr">
        <is>
          <t>Поиск по несуществующему запросу</t>
        </is>
      </c>
      <c r="E58" s="33" t="inlineStr">
        <is>
          <t>P2</t>
        </is>
      </c>
      <c r="F58" s="33" t="inlineStr">
        <is>
          <t>Negative</t>
        </is>
      </c>
      <c r="G58" s="31" t="inlineStr">
        <is>
          <t>Пользователь авторизован как Мастер</t>
        </is>
      </c>
      <c r="H58" s="31" t="inlineStr">
        <is>
          <t>1. Ввести случайную строку</t>
        </is>
      </c>
      <c r="I58" s="31" t="inlineStr">
        <is>
          <t>qwertyzxcv12345</t>
        </is>
      </c>
      <c r="J58" s="31" t="inlineStr">
        <is>
          <t>Показано пустое состояние «нет товаров»</t>
        </is>
      </c>
      <c r="K58" s="31" t="inlineStr"/>
      <c r="L58" s="33" t="inlineStr">
        <is>
          <t>Да</t>
        </is>
      </c>
      <c r="M58" s="31" t="inlineStr"/>
      <c r="N58" s="33" t="inlineStr">
        <is>
          <t>Автоматизирован</t>
        </is>
      </c>
      <c r="O58" s="31" t="inlineStr">
        <is>
          <t>storefront/catalog/SearchTest#searchingUnknownTermShowsEmptyState</t>
        </is>
      </c>
      <c r="P58" s="33" t="inlineStr">
        <is>
          <t>Не выполнен</t>
        </is>
      </c>
      <c r="Q58" s="31" t="inlineStr"/>
    </row>
    <row r="59" ht="48" customHeight="1">
      <c r="A59" s="30" t="inlineStr">
        <is>
          <t>SRCH-004</t>
        </is>
      </c>
      <c r="B59" s="31" t="inlineStr">
        <is>
          <t>Поиск</t>
        </is>
      </c>
      <c r="C59" s="31" t="inlineStr">
        <is>
          <t>Поиск</t>
        </is>
      </c>
      <c r="D59" s="32" t="inlineStr">
        <is>
          <t>Переход из результатов поиска на товар</t>
        </is>
      </c>
      <c r="E59" s="33" t="inlineStr">
        <is>
          <t>P1</t>
        </is>
      </c>
      <c r="F59" s="33" t="inlineStr">
        <is>
          <t>Functional</t>
        </is>
      </c>
      <c r="G59" s="31" t="inlineStr">
        <is>
          <t>Пользователь авторизован как Мастер</t>
        </is>
      </c>
      <c r="H59" s="31" t="inlineStr">
        <is>
          <t>1. Выполнить поиск
2. Нажать на первую карточку</t>
        </is>
      </c>
      <c r="I59" s="31" t="inlineStr"/>
      <c r="J59" s="31" t="inlineStr">
        <is>
          <t>Открыта страница именно этого товара (pvId совпадает)</t>
        </is>
      </c>
      <c r="K59" s="31" t="inlineStr"/>
      <c r="L59" s="33" t="inlineStr">
        <is>
          <t>Да</t>
        </is>
      </c>
      <c r="M59" s="31" t="inlineStr"/>
      <c r="N59" s="33" t="inlineStr">
        <is>
          <t>Автоматизирован</t>
        </is>
      </c>
      <c r="O59" s="31" t="inlineStr">
        <is>
          <t>storefront/catalog/SearchTest#openingSearchResultNavigatesToMatchingProduct</t>
        </is>
      </c>
      <c r="P59" s="33" t="inlineStr">
        <is>
          <t>Не выполнен</t>
        </is>
      </c>
      <c r="Q59" s="31" t="inlineStr"/>
    </row>
    <row r="60" ht="34" customHeight="1">
      <c r="A60" s="30" t="inlineStr">
        <is>
          <t>SRCH-005</t>
        </is>
      </c>
      <c r="B60" s="31" t="inlineStr">
        <is>
          <t>Поиск</t>
        </is>
      </c>
      <c r="C60" s="31" t="inlineStr">
        <is>
          <t>Поиск</t>
        </is>
      </c>
      <c r="D60" s="32" t="inlineStr">
        <is>
          <t>Поиск по ID товара</t>
        </is>
      </c>
      <c r="E60" s="33" t="inlineStr">
        <is>
          <t>P2</t>
        </is>
      </c>
      <c r="F60" s="33" t="inlineStr">
        <is>
          <t>Functional</t>
        </is>
      </c>
      <c r="G60" s="31" t="inlineStr">
        <is>
          <t>Пользователь авторизован как Мастер</t>
        </is>
      </c>
      <c r="H60" s="31" t="inlineStr">
        <is>
          <t>1. Ввести ID товара</t>
        </is>
      </c>
      <c r="I60" s="31" t="inlineStr">
        <is>
          <t>9824</t>
        </is>
      </c>
      <c r="J60" s="31" t="inlineStr">
        <is>
          <t>В выдаче товар с ID 9824</t>
        </is>
      </c>
      <c r="K60" s="31" t="inlineStr"/>
      <c r="L60" s="33" t="inlineStr">
        <is>
          <t>Да</t>
        </is>
      </c>
      <c r="M60" s="31" t="inlineStr"/>
      <c r="N60" s="33" t="inlineStr">
        <is>
          <t>Автоматизирован</t>
        </is>
      </c>
      <c r="O60" s="31" t="inlineStr">
        <is>
          <t>storefront/catalog/SearchExtraTest#searchByProductId</t>
        </is>
      </c>
      <c r="P60" s="33" t="inlineStr">
        <is>
          <t>Не выполнен</t>
        </is>
      </c>
      <c r="Q60" s="31" t="inlineStr"/>
    </row>
    <row r="61" ht="34" customHeight="1">
      <c r="A61" s="30" t="inlineStr">
        <is>
          <t>SRCH-006</t>
        </is>
      </c>
      <c r="B61" s="31" t="inlineStr">
        <is>
          <t>Поиск</t>
        </is>
      </c>
      <c r="C61" s="31" t="inlineStr">
        <is>
          <t>Поиск</t>
        </is>
      </c>
      <c r="D61" s="32" t="inlineStr">
        <is>
          <t>Запуск поиска кнопкой-лупой и клавишей Enter</t>
        </is>
      </c>
      <c r="E61" s="33" t="inlineStr">
        <is>
          <t>P3</t>
        </is>
      </c>
      <c r="F61" s="33" t="inlineStr">
        <is>
          <t>Functional</t>
        </is>
      </c>
      <c r="G61" s="31" t="inlineStr">
        <is>
          <t>Пользователь авторизован как Мастер</t>
        </is>
      </c>
      <c r="H61" s="31" t="inlineStr">
        <is>
          <t>1. Ввести запрос, нажать лупу
2. Повторить с Enter</t>
        </is>
      </c>
      <c r="I61" s="31" t="inlineStr"/>
      <c r="J61" s="31" t="inlineStr">
        <is>
          <t>В обоих случаях открывается одинаковая выдача</t>
        </is>
      </c>
      <c r="K61" s="31" t="inlineStr"/>
      <c r="L61" s="33" t="inlineStr">
        <is>
          <t>Да</t>
        </is>
      </c>
      <c r="M61" s="31" t="inlineStr"/>
      <c r="N61" s="33" t="inlineStr">
        <is>
          <t>Автоматизирован</t>
        </is>
      </c>
      <c r="O61" s="31" t="inlineStr">
        <is>
          <t>storefront/catalog/SearchExtraTest#searchWorksViaEnterAndLoupeButton</t>
        </is>
      </c>
      <c r="P61" s="33" t="inlineStr">
        <is>
          <t>Не выполнен</t>
        </is>
      </c>
      <c r="Q61" s="31" t="inlineStr"/>
    </row>
    <row r="62" ht="34" customHeight="1">
      <c r="A62" s="30" t="inlineStr">
        <is>
          <t>SRCH-007</t>
        </is>
      </c>
      <c r="B62" s="31" t="inlineStr">
        <is>
          <t>Поиск</t>
        </is>
      </c>
      <c r="C62" s="31" t="inlineStr">
        <is>
          <t>Поиск</t>
        </is>
      </c>
      <c r="D62" s="32" t="inlineStr">
        <is>
          <t>Пустой запрос и запрос из пробелов</t>
        </is>
      </c>
      <c r="E62" s="33" t="inlineStr">
        <is>
          <t>P3</t>
        </is>
      </c>
      <c r="F62" s="33" t="inlineStr">
        <is>
          <t>Negative</t>
        </is>
      </c>
      <c r="G62" s="31" t="inlineStr">
        <is>
          <t>Пользователь авторизован как Мастер</t>
        </is>
      </c>
      <c r="H62" s="31" t="inlineStr">
        <is>
          <t>1. Нажать поиск с пустым полем
2. Ввести только пробелы</t>
        </is>
      </c>
      <c r="I62" s="31" t="inlineStr"/>
      <c r="J62" s="31" t="inlineStr">
        <is>
          <t>Поиск не выполняется или открывается общий каталог без ошибок</t>
        </is>
      </c>
      <c r="K62" s="31" t="inlineStr"/>
      <c r="L62" s="33" t="inlineStr">
        <is>
          <t>Да</t>
        </is>
      </c>
      <c r="M62" s="31" t="inlineStr"/>
      <c r="N62" s="33" t="inlineStr">
        <is>
          <t>Автоматизирован</t>
        </is>
      </c>
      <c r="O62" s="31" t="inlineStr">
        <is>
          <t>storefront/catalog/SearchExtraTest#emptyAndWhitespaceQueries</t>
        </is>
      </c>
      <c r="P62" s="33" t="inlineStr">
        <is>
          <t>Не выполнен</t>
        </is>
      </c>
      <c r="Q62" s="31" t="inlineStr"/>
    </row>
    <row r="63" ht="34" customHeight="1">
      <c r="A63" s="30" t="inlineStr">
        <is>
          <t>SRCH-008</t>
        </is>
      </c>
      <c r="B63" s="31" t="inlineStr">
        <is>
          <t>Поиск</t>
        </is>
      </c>
      <c r="C63" s="31" t="inlineStr">
        <is>
          <t>Поиск</t>
        </is>
      </c>
      <c r="D63" s="32" t="inlineStr">
        <is>
          <t>Поиск кириллицей / латиницей / в разном регистре</t>
        </is>
      </c>
      <c r="E63" s="33" t="inlineStr">
        <is>
          <t>P3</t>
        </is>
      </c>
      <c r="F63" s="33" t="inlineStr">
        <is>
          <t>Functional</t>
        </is>
      </c>
      <c r="G63" s="31" t="inlineStr">
        <is>
          <t>Пользователь авторизован как Мастер</t>
        </is>
      </c>
      <c r="H63" s="31" t="inlineStr">
        <is>
          <t>1. Найти «samsung», «SAMSUNG», «Самсунг»</t>
        </is>
      </c>
      <c r="I63" s="31" t="inlineStr"/>
      <c r="J63" s="31" t="inlineStr">
        <is>
          <t>Регистр не влияет; поведение для кириллицы соответствует ожиданиям бизнеса</t>
        </is>
      </c>
      <c r="K63" s="31" t="inlineStr"/>
      <c r="L63" s="33" t="inlineStr">
        <is>
          <t>Да</t>
        </is>
      </c>
      <c r="M63" s="31" t="inlineStr"/>
      <c r="N63" s="33" t="inlineStr">
        <is>
          <t>Автоматизирован</t>
        </is>
      </c>
      <c r="O63" s="31" t="inlineStr">
        <is>
          <t>storefront/catalog/SearchExtraTest#queryCaseDoesNotMatter</t>
        </is>
      </c>
      <c r="P63" s="33" t="inlineStr">
        <is>
          <t>Не выполнен</t>
        </is>
      </c>
      <c r="Q63" s="31" t="inlineStr"/>
    </row>
    <row r="64" ht="48" customHeight="1">
      <c r="A64" s="30" t="inlineStr">
        <is>
          <t>SRCH-009</t>
        </is>
      </c>
      <c r="B64" s="31" t="inlineStr">
        <is>
          <t>Поиск</t>
        </is>
      </c>
      <c r="C64" s="31" t="inlineStr">
        <is>
          <t>Поиск</t>
        </is>
      </c>
      <c r="D64" s="32" t="inlineStr">
        <is>
          <t>Фильтры и сортировка в результатах поиска</t>
        </is>
      </c>
      <c r="E64" s="33" t="inlineStr">
        <is>
          <t>P3</t>
        </is>
      </c>
      <c r="F64" s="33" t="inlineStr">
        <is>
          <t>Functional</t>
        </is>
      </c>
      <c r="G64" s="31" t="inlineStr">
        <is>
          <t>Пользователь авторизован как Мастер</t>
        </is>
      </c>
      <c r="H64" s="31" t="inlineStr">
        <is>
          <t>1. Выполнить поиск
2. Применить сортировку «Сначала дешевые» и «Только в наличии»</t>
        </is>
      </c>
      <c r="I64" s="31" t="inlineStr"/>
      <c r="J64" s="31" t="inlineStr">
        <is>
          <t>Фильтры применяются к результатам поиска, запрос сохраняется</t>
        </is>
      </c>
      <c r="K64" s="31" t="inlineStr"/>
      <c r="L64" s="33" t="inlineStr">
        <is>
          <t>Да</t>
        </is>
      </c>
      <c r="M64" s="31" t="inlineStr"/>
      <c r="N64" s="33" t="inlineStr">
        <is>
          <t>Автоматизирован</t>
        </is>
      </c>
      <c r="O64" s="31" t="inlineStr">
        <is>
          <t>storefront/catalog/SearchExtraTest#filtersWorkInsideSearchResults</t>
        </is>
      </c>
      <c r="P64" s="33" t="inlineStr">
        <is>
          <t>Не выполнен</t>
        </is>
      </c>
      <c r="Q64" s="31" t="inlineStr"/>
    </row>
    <row r="65" ht="62" customHeight="1">
      <c r="A65" s="26" t="inlineStr">
        <is>
          <t>PDP-001</t>
        </is>
      </c>
      <c r="B65" s="27" t="inlineStr">
        <is>
          <t>Карточка товара</t>
        </is>
      </c>
      <c r="C65" s="27" t="inlineStr">
        <is>
          <t>Отображение</t>
        </is>
      </c>
      <c r="D65" s="28" t="inlineStr">
        <is>
          <t>Основные элементы страницы товара</t>
        </is>
      </c>
      <c r="E65" s="29" t="inlineStr">
        <is>
          <t>P1</t>
        </is>
      </c>
      <c r="F65" s="29" t="inlineStr">
        <is>
          <t>Smoke</t>
        </is>
      </c>
      <c r="G65" s="27" t="inlineStr">
        <is>
          <t>Пользователь авторизован как Мастер</t>
        </is>
      </c>
      <c r="H65" s="27" t="inlineStr">
        <is>
          <t>1. Открыть товар со скидкой</t>
        </is>
      </c>
      <c r="I65" s="27" t="inlineStr">
        <is>
          <t>pvId=9824</t>
        </is>
      </c>
      <c r="J65" s="27" t="inlineStr">
        <is>
          <t>Название с (ID: N), хлебные крошки, галерея, цена, зачёркнутая старая цена, бейдж -%, цена в $, рейтинг, «Качество», остатки по складам, кнопки количества, избранного и «Быстрая покупка»</t>
        </is>
      </c>
      <c r="K65" s="27" t="inlineStr"/>
      <c r="L65" s="29" t="inlineStr">
        <is>
          <t>Да</t>
        </is>
      </c>
      <c r="M65" s="27" t="inlineStr">
        <is>
          <t>Проверены название, цена, «Быстрая покупка», счётчик; галерея и склады — вручную</t>
        </is>
      </c>
      <c r="N65" s="29" t="inlineStr">
        <is>
          <t>Частично автоматизирован</t>
        </is>
      </c>
      <c r="O65" s="27" t="inlineStr">
        <is>
          <t>storefront/product/ProductPageTest#productPageShowsMainElements</t>
        </is>
      </c>
      <c r="P65" s="29" t="inlineStr">
        <is>
          <t>Не выполнен</t>
        </is>
      </c>
      <c r="Q65" s="27" t="inlineStr"/>
    </row>
    <row r="66" ht="34" customHeight="1">
      <c r="A66" s="26" t="inlineStr">
        <is>
          <t>PDP-002</t>
        </is>
      </c>
      <c r="B66" s="27" t="inlineStr">
        <is>
          <t>Карточка товара</t>
        </is>
      </c>
      <c r="C66" s="27" t="inlineStr">
        <is>
          <t>Варианты</t>
        </is>
      </c>
      <c r="D66" s="28" t="inlineStr">
        <is>
          <t>Переключение варианта «Качество»</t>
        </is>
      </c>
      <c r="E66" s="29" t="inlineStr">
        <is>
          <t>P1</t>
        </is>
      </c>
      <c r="F66" s="29" t="inlineStr">
        <is>
          <t>Functional</t>
        </is>
      </c>
      <c r="G66" s="27" t="inlineStr">
        <is>
          <t>Пользователь авторизован как Мастер</t>
        </is>
      </c>
      <c r="H66" s="27" t="inlineStr">
        <is>
          <t>1. Открыть товар с несколькими вариантами качества
2. Выбрать другой вариант</t>
        </is>
      </c>
      <c r="I66" s="27" t="inlineStr"/>
      <c r="J66" s="27" t="inlineStr">
        <is>
          <t>Меняются цена, ID (pvId в URL), остатки; выбранный вариант подсвечен</t>
        </is>
      </c>
      <c r="K66" s="27" t="inlineStr"/>
      <c r="L66" s="29" t="inlineStr">
        <is>
          <t>Да</t>
        </is>
      </c>
      <c r="M66" s="27" t="inlineStr">
        <is>
          <t>Нужен товар с несколькими вариантами «Качество» — данные нестабильны</t>
        </is>
      </c>
      <c r="N66" s="29" t="inlineStr">
        <is>
          <t>Не автоматизирован</t>
        </is>
      </c>
      <c r="O66" s="27" t="inlineStr"/>
      <c r="P66" s="29" t="inlineStr">
        <is>
          <t>Не выполнен</t>
        </is>
      </c>
      <c r="Q66" s="27" t="inlineStr"/>
    </row>
    <row r="67" ht="34" customHeight="1">
      <c r="A67" s="26" t="inlineStr">
        <is>
          <t>PDP-003</t>
        </is>
      </c>
      <c r="B67" s="27" t="inlineStr">
        <is>
          <t>Карточка товара</t>
        </is>
      </c>
      <c r="C67" s="27" t="inlineStr">
        <is>
          <t>Наличие</t>
        </is>
      </c>
      <c r="D67" s="28" t="inlineStr">
        <is>
          <t>Остатки по складам</t>
        </is>
      </c>
      <c r="E67" s="29" t="inlineStr">
        <is>
          <t>P2</t>
        </is>
      </c>
      <c r="F67" s="29" t="inlineStr">
        <is>
          <t>Functional</t>
        </is>
      </c>
      <c r="G67" s="27" t="inlineStr">
        <is>
          <t>Пользователь авторизован как Мастер</t>
        </is>
      </c>
      <c r="H67" s="27" t="inlineStr">
        <is>
          <t>1. Открыть товар
2. Проверить блок складов</t>
        </is>
      </c>
      <c r="I67" s="27" t="inlineStr"/>
      <c r="J67" s="27" t="inlineStr">
        <is>
          <t>Отображается количество по каждому складу; совпадает с данными в админке</t>
        </is>
      </c>
      <c r="K67" s="27" t="inlineStr"/>
      <c r="L67" s="29" t="inlineStr">
        <is>
          <t>Частично</t>
        </is>
      </c>
      <c r="M67" s="27" t="inlineStr">
        <is>
          <t>Остатки по складам зависят от данных</t>
        </is>
      </c>
      <c r="N67" s="29" t="inlineStr">
        <is>
          <t>Не автоматизирован</t>
        </is>
      </c>
      <c r="O67" s="27" t="inlineStr"/>
      <c r="P67" s="29" t="inlineStr">
        <is>
          <t>Не выполнен</t>
        </is>
      </c>
      <c r="Q67" s="27" t="inlineStr"/>
    </row>
    <row r="68" ht="48" customHeight="1">
      <c r="A68" s="26" t="inlineStr">
        <is>
          <t>PDP-004</t>
        </is>
      </c>
      <c r="B68" s="27" t="inlineStr">
        <is>
          <t>Карточка товара</t>
        </is>
      </c>
      <c r="C68" s="27" t="inlineStr">
        <is>
          <t>Количество</t>
        </is>
      </c>
      <c r="D68" s="28" t="inlineStr">
        <is>
          <t>Изменение количества (+/−/ручной ввод)</t>
        </is>
      </c>
      <c r="E68" s="29" t="inlineStr">
        <is>
          <t>P1</t>
        </is>
      </c>
      <c r="F68" s="29" t="inlineStr">
        <is>
          <t>Functional</t>
        </is>
      </c>
      <c r="G68" s="27" t="inlineStr">
        <is>
          <t>Пользователь авторизован как Мастер</t>
        </is>
      </c>
      <c r="H68" s="27" t="inlineStr">
        <is>
          <t>1. Нажать «+» дважды
2. Нажать «−»
3. Ввести число вручную</t>
        </is>
      </c>
      <c r="I68" s="27" t="inlineStr"/>
      <c r="J68" s="27" t="inlineStr">
        <is>
          <t>Счётчик меняется корректно; товар добавляется в корзину; бейдж корзины обновляется</t>
        </is>
      </c>
      <c r="K68" s="27" t="inlineStr"/>
      <c r="L68" s="29" t="inlineStr">
        <is>
          <t>Да</t>
        </is>
      </c>
      <c r="M68" s="27" t="inlineStr">
        <is>
          <t>Проверены кнопки «+» / «−»; ручной ввод — вручную</t>
        </is>
      </c>
      <c r="N68" s="29" t="inlineStr">
        <is>
          <t>Частично автоматизирован</t>
        </is>
      </c>
      <c r="O68" s="27" t="inlineStr">
        <is>
          <t>storefront/product/ProductPageTest#quantityStepperChangesValue</t>
        </is>
      </c>
      <c r="P68" s="29" t="inlineStr">
        <is>
          <t>Не выполнен</t>
        </is>
      </c>
      <c r="Q68" s="27" t="inlineStr"/>
    </row>
    <row r="69" ht="34" customHeight="1">
      <c r="A69" s="26" t="inlineStr">
        <is>
          <t>PDP-005</t>
        </is>
      </c>
      <c r="B69" s="27" t="inlineStr">
        <is>
          <t>Карточка товара</t>
        </is>
      </c>
      <c r="C69" s="27" t="inlineStr">
        <is>
          <t>Количество</t>
        </is>
      </c>
      <c r="D69" s="28" t="inlineStr">
        <is>
          <t>Нельзя добавить больше доступного остатка</t>
        </is>
      </c>
      <c r="E69" s="29" t="inlineStr">
        <is>
          <t>P1</t>
        </is>
      </c>
      <c r="F69" s="29" t="inlineStr">
        <is>
          <t>Negative</t>
        </is>
      </c>
      <c r="G69" s="27" t="inlineStr">
        <is>
          <t>Пользователь авторизован как Мастер</t>
        </is>
      </c>
      <c r="H69" s="27" t="inlineStr">
        <is>
          <t>1. Открыть товар с остатком N
2. Ввести количество N+1</t>
        </is>
      </c>
      <c r="I69" s="27" t="inlineStr">
        <is>
          <t>Товар с остатком 3</t>
        </is>
      </c>
      <c r="J69" s="27" t="inlineStr">
        <is>
          <t>Количество ограничено остатком или показано предупреждение</t>
        </is>
      </c>
      <c r="K69" s="27" t="inlineStr"/>
      <c r="L69" s="29" t="inlineStr">
        <is>
          <t>Да</t>
        </is>
      </c>
      <c r="M69" s="27" t="inlineStr">
        <is>
          <t>Нужен товар с известным малым остатком — данные нестабильны (CART-010 проверяет то же в корзине)</t>
        </is>
      </c>
      <c r="N69" s="29" t="inlineStr">
        <is>
          <t>Не автоматизирован</t>
        </is>
      </c>
      <c r="O69" s="27" t="inlineStr"/>
      <c r="P69" s="29" t="inlineStr">
        <is>
          <t>Не выполнен</t>
        </is>
      </c>
      <c r="Q69" s="27" t="inlineStr"/>
    </row>
    <row r="70" ht="34" customHeight="1">
      <c r="A70" s="26" t="inlineStr">
        <is>
          <t>PDP-006</t>
        </is>
      </c>
      <c r="B70" s="27" t="inlineStr">
        <is>
          <t>Карточка товара</t>
        </is>
      </c>
      <c r="C70" s="27" t="inlineStr">
        <is>
          <t>Покупка</t>
        </is>
      </c>
      <c r="D70" s="28" t="inlineStr">
        <is>
          <t>«Быстрая покупка» ведёт к оформлению</t>
        </is>
      </c>
      <c r="E70" s="29" t="inlineStr">
        <is>
          <t>P1</t>
        </is>
      </c>
      <c r="F70" s="29" t="inlineStr">
        <is>
          <t>Functional</t>
        </is>
      </c>
      <c r="G70" s="27" t="inlineStr">
        <is>
          <t>Пользователь авторизован как Мастер</t>
        </is>
      </c>
      <c r="H70" s="27" t="inlineStr">
        <is>
          <t>1. Открыть товар в наличии
2. Нажать «Быстрая покупка»</t>
        </is>
      </c>
      <c r="I70" s="27" t="inlineStr"/>
      <c r="J70" s="27" t="inlineStr">
        <is>
          <t>Открыто оформление заказа с этим товаром; срок доставки на кнопке соответствует выбранному магазину</t>
        </is>
      </c>
      <c r="K70" s="27" t="inlineStr"/>
      <c r="L70" s="29" t="inlineStr">
        <is>
          <t>Да</t>
        </is>
      </c>
      <c r="M70" s="27" t="inlineStr">
        <is>
          <t>«Быстрая покупка» может создать заказ — только вручную</t>
        </is>
      </c>
      <c r="N70" s="29" t="inlineStr">
        <is>
          <t>Не автоматизирован</t>
        </is>
      </c>
      <c r="O70" s="27" t="inlineStr"/>
      <c r="P70" s="29" t="inlineStr">
        <is>
          <t>Не выполнен</t>
        </is>
      </c>
      <c r="Q70" s="27" t="inlineStr"/>
    </row>
    <row r="71" ht="34" customHeight="1">
      <c r="A71" s="26" t="inlineStr">
        <is>
          <t>PDP-007</t>
        </is>
      </c>
      <c r="B71" s="27" t="inlineStr">
        <is>
          <t>Карточка товара</t>
        </is>
      </c>
      <c r="C71" s="27" t="inlineStr">
        <is>
          <t>Избранное</t>
        </is>
      </c>
      <c r="D71" s="28" t="inlineStr">
        <is>
          <t>Добавление в избранное со страницы товара</t>
        </is>
      </c>
      <c r="E71" s="29" t="inlineStr">
        <is>
          <t>P2</t>
        </is>
      </c>
      <c r="F71" s="29" t="inlineStr">
        <is>
          <t>Functional</t>
        </is>
      </c>
      <c r="G71" s="27" t="inlineStr">
        <is>
          <t>Пользователь авторизован как Мастер</t>
        </is>
      </c>
      <c r="H71" s="27" t="inlineStr">
        <is>
          <t>1. Нажать сердечко на странице товара
2. Открыть «Избранное»</t>
        </is>
      </c>
      <c r="I71" s="27" t="inlineStr"/>
      <c r="J71" s="27" t="inlineStr">
        <is>
          <t>Иконка закрашена, товар есть в избранном</t>
        </is>
      </c>
      <c r="K71" s="27" t="inlineStr"/>
      <c r="L71" s="29" t="inlineStr">
        <is>
          <t>Да</t>
        </is>
      </c>
      <c r="M71" s="27" t="inlineStr">
        <is>
          <t>Страница «Избранное» на staging не найдена (/ru/favorites → 404) — функциональность требует уточнения</t>
        </is>
      </c>
      <c r="N71" s="29" t="inlineStr">
        <is>
          <t>Не автоматизирован</t>
        </is>
      </c>
      <c r="O71" s="27" t="inlineStr"/>
      <c r="P71" s="29" t="inlineStr">
        <is>
          <t>Не выполнен</t>
        </is>
      </c>
      <c r="Q71" s="27" t="inlineStr"/>
    </row>
    <row r="72" ht="34" customHeight="1">
      <c r="A72" s="26" t="inlineStr">
        <is>
          <t>PDP-008</t>
        </is>
      </c>
      <c r="B72" s="27" t="inlineStr">
        <is>
          <t>Карточка товара</t>
        </is>
      </c>
      <c r="C72" s="27" t="inlineStr">
        <is>
          <t>Галерея</t>
        </is>
      </c>
      <c r="D72" s="28" t="inlineStr">
        <is>
          <t>Галерея изображений и полноэкранный просмотр</t>
        </is>
      </c>
      <c r="E72" s="29" t="inlineStr">
        <is>
          <t>P3</t>
        </is>
      </c>
      <c r="F72" s="29" t="inlineStr">
        <is>
          <t>UI</t>
        </is>
      </c>
      <c r="G72" s="27" t="inlineStr">
        <is>
          <t>Пользователь авторизован как Мастер</t>
        </is>
      </c>
      <c r="H72" s="27" t="inlineStr">
        <is>
          <t>1. Переключить миниатюры
2. Нажать иконку полноэкранного режима</t>
        </is>
      </c>
      <c r="I72" s="27" t="inlineStr"/>
      <c r="J72" s="27" t="inlineStr">
        <is>
          <t>Изображение меняется; открывается увеличенный просмотр; изображения не битые</t>
        </is>
      </c>
      <c r="K72" s="27" t="inlineStr"/>
      <c r="L72" s="29" t="inlineStr">
        <is>
          <t>Частично</t>
        </is>
      </c>
      <c r="M72" s="27" t="inlineStr">
        <is>
          <t>Галерея — визуальная проверка</t>
        </is>
      </c>
      <c r="N72" s="29" t="inlineStr">
        <is>
          <t>Не автоматизирован</t>
        </is>
      </c>
      <c r="O72" s="27" t="inlineStr"/>
      <c r="P72" s="29" t="inlineStr">
        <is>
          <t>Не выполнен</t>
        </is>
      </c>
      <c r="Q72" s="27" t="inlineStr"/>
    </row>
    <row r="73" ht="48" customHeight="1">
      <c r="A73" s="26" t="inlineStr">
        <is>
          <t>PDP-009</t>
        </is>
      </c>
      <c r="B73" s="27" t="inlineStr">
        <is>
          <t>Карточка товара</t>
        </is>
      </c>
      <c r="C73" s="27" t="inlineStr">
        <is>
          <t>Нашли дешевле</t>
        </is>
      </c>
      <c r="D73" s="28" t="inlineStr">
        <is>
          <t>Форма «Нашли дешевле?»</t>
        </is>
      </c>
      <c r="E73" s="29" t="inlineStr">
        <is>
          <t>P3</t>
        </is>
      </c>
      <c r="F73" s="29" t="inlineStr">
        <is>
          <t>Functional</t>
        </is>
      </c>
      <c r="G73" s="27" t="inlineStr">
        <is>
          <t>Пользователь авторизован как Мастер</t>
        </is>
      </c>
      <c r="H73" s="27" t="inlineStr">
        <is>
          <t>1. Нажать «Нашли дешевле?»
2. Заполнить форму
3. Отправить</t>
        </is>
      </c>
      <c r="I73" s="27" t="inlineStr"/>
      <c r="J73" s="27" t="inlineStr">
        <is>
          <t>Форма открывается, валидирует поля, после отправки — сообщение об успехе; заявка видна в админке</t>
        </is>
      </c>
      <c r="K73" s="27" t="inlineStr"/>
      <c r="L73" s="29" t="inlineStr">
        <is>
          <t>Частично</t>
        </is>
      </c>
      <c r="M73" s="27" t="inlineStr">
        <is>
          <t>Форма «Нашли дешевле?» отправляет данные — вручную</t>
        </is>
      </c>
      <c r="N73" s="29" t="inlineStr">
        <is>
          <t>Не автоматизирован</t>
        </is>
      </c>
      <c r="O73" s="27" t="inlineStr"/>
      <c r="P73" s="29" t="inlineStr">
        <is>
          <t>Не выполнен</t>
        </is>
      </c>
      <c r="Q73" s="27" t="inlineStr"/>
    </row>
    <row r="74" ht="48" customHeight="1">
      <c r="A74" s="26" t="inlineStr">
        <is>
          <t>PDP-010</t>
        </is>
      </c>
      <c r="B74" s="27" t="inlineStr">
        <is>
          <t>Карточка товара</t>
        </is>
      </c>
      <c r="C74" s="27" t="inlineStr">
        <is>
          <t>Рекомендации</t>
        </is>
      </c>
      <c r="D74" s="28" t="inlineStr">
        <is>
          <t>Блок «Ещё товары для &lt;модель&gt;»</t>
        </is>
      </c>
      <c r="E74" s="29" t="inlineStr">
        <is>
          <t>P3</t>
        </is>
      </c>
      <c r="F74" s="29" t="inlineStr">
        <is>
          <t>Functional</t>
        </is>
      </c>
      <c r="G74" s="27" t="inlineStr">
        <is>
          <t>Пользователь авторизован как Мастер</t>
        </is>
      </c>
      <c r="H74" s="27" t="inlineStr">
        <is>
          <t>1. Прокрутить к блоку рекомендаций
2. Пролистать стрелками
3. Открыть товар</t>
        </is>
      </c>
      <c r="I74" s="27" t="inlineStr"/>
      <c r="J74" s="27" t="inlineStr">
        <is>
          <t>Карусель листается; товары относятся к той же модели; переход работает</t>
        </is>
      </c>
      <c r="K74" s="27" t="inlineStr"/>
      <c r="L74" s="29" t="inlineStr">
        <is>
          <t>Да</t>
        </is>
      </c>
      <c r="M74" s="27" t="inlineStr"/>
      <c r="N74" s="29" t="inlineStr">
        <is>
          <t>Автоматизирован</t>
        </is>
      </c>
      <c r="O74" s="27" t="inlineStr">
        <is>
          <t>storefront/product/ProductPageTest#moreProductsForModelBlock</t>
        </is>
      </c>
      <c r="P74" s="29" t="inlineStr">
        <is>
          <t>Не выполнен</t>
        </is>
      </c>
      <c r="Q74" s="27" t="inlineStr"/>
    </row>
    <row r="75" ht="48" customHeight="1">
      <c r="A75" s="26" t="inlineStr">
        <is>
          <t>PDP-011</t>
        </is>
      </c>
      <c r="B75" s="27" t="inlineStr">
        <is>
          <t>Карточка товара</t>
        </is>
      </c>
      <c r="C75" s="27" t="inlineStr">
        <is>
          <t>Наличие</t>
        </is>
      </c>
      <c r="D75" s="28" t="inlineStr">
        <is>
          <t>Страница товара не в наличии</t>
        </is>
      </c>
      <c r="E75" s="29" t="inlineStr">
        <is>
          <t>P1</t>
        </is>
      </c>
      <c r="F75" s="29" t="inlineStr">
        <is>
          <t>Functional</t>
        </is>
      </c>
      <c r="G75" s="27" t="inlineStr">
        <is>
          <t>Пользователь авторизован как Мастер</t>
        </is>
      </c>
      <c r="H75" s="27" t="inlineStr">
        <is>
          <t>1. Открыть товар, у выбранного варианта остаток 0</t>
        </is>
      </c>
      <c r="I75" s="27" t="inlineStr"/>
      <c r="J75" s="27" t="inlineStr">
        <is>
          <t>Кнопки количества и «Быстрая покупка» недоступны, видна метка «Нет в наличии»; авторизованному показана кнопка «Хотел бы купить»</t>
        </is>
      </c>
      <c r="K75" s="27" t="inlineStr">
        <is>
          <t>PRD Bo'lsa olar edim</t>
        </is>
      </c>
      <c r="L75" s="29" t="inlineStr">
        <is>
          <t>Да</t>
        </is>
      </c>
      <c r="M75" s="27" t="inlineStr">
        <is>
          <t>Нужен заведомо отсутствующий на складе товар</t>
        </is>
      </c>
      <c r="N75" s="29" t="inlineStr">
        <is>
          <t>Не автоматизирован</t>
        </is>
      </c>
      <c r="O75" s="27" t="inlineStr"/>
      <c r="P75" s="29" t="inlineStr">
        <is>
          <t>Не выполнен</t>
        </is>
      </c>
      <c r="Q75" s="27" t="inlineStr"/>
    </row>
    <row r="76" ht="34" customHeight="1">
      <c r="A76" s="26" t="inlineStr">
        <is>
          <t>PDP-012</t>
        </is>
      </c>
      <c r="B76" s="27" t="inlineStr">
        <is>
          <t>Карточка товара</t>
        </is>
      </c>
      <c r="C76" s="27" t="inlineStr">
        <is>
          <t>Ошибки</t>
        </is>
      </c>
      <c r="D76" s="28" t="inlineStr">
        <is>
          <t>Несуществующий товар по прямой ссылке</t>
        </is>
      </c>
      <c r="E76" s="29" t="inlineStr">
        <is>
          <t>P3</t>
        </is>
      </c>
      <c r="F76" s="29" t="inlineStr">
        <is>
          <t>Negative</t>
        </is>
      </c>
      <c r="G76" s="27" t="inlineStr">
        <is>
          <t>Пользователь авторизован как Мастер</t>
        </is>
      </c>
      <c r="H76" s="27" t="inlineStr">
        <is>
          <t>1. Открыть /ru/product/xxx?pvId=99999999</t>
        </is>
      </c>
      <c r="I76" s="27" t="inlineStr"/>
      <c r="J76" s="27" t="inlineStr">
        <is>
          <t>Показана страница 404 / «товар не найден», без ошибки приложения</t>
        </is>
      </c>
      <c r="K76" s="27" t="inlineStr"/>
      <c r="L76" s="29" t="inlineStr">
        <is>
          <t>Да</t>
        </is>
      </c>
      <c r="M76" s="27" t="inlineStr"/>
      <c r="N76" s="29" t="inlineStr">
        <is>
          <t>Автоматизирован</t>
        </is>
      </c>
      <c r="O76" s="27" t="inlineStr">
        <is>
          <t>storefront/product/ProductPageTest#unknownProductShowsNotFound</t>
        </is>
      </c>
      <c r="P76" s="29" t="inlineStr">
        <is>
          <t>Не выполнен</t>
        </is>
      </c>
      <c r="Q76" s="27" t="inlineStr"/>
    </row>
    <row r="77" ht="76" customHeight="1">
      <c r="A77" s="26" t="inlineStr">
        <is>
          <t>PDP-013</t>
        </is>
      </c>
      <c r="B77" s="27" t="inlineStr">
        <is>
          <t>Карточка товара</t>
        </is>
      </c>
      <c r="C77" s="27" t="inlineStr">
        <is>
          <t>Хотел бы купить</t>
        </is>
      </c>
      <c r="D77" s="28" t="inlineStr">
        <is>
          <t>«Хотел бы купить» для товара без остатка</t>
        </is>
      </c>
      <c r="E77" s="29" t="inlineStr">
        <is>
          <t>P2</t>
        </is>
      </c>
      <c r="F77" s="29" t="inlineStr">
        <is>
          <t>Functional</t>
        </is>
      </c>
      <c r="G77" s="27" t="inlineStr">
        <is>
          <t>Пользователь авторизован как Мастер; у выбранного варианта остаток 0</t>
        </is>
      </c>
      <c r="H77" s="27" t="inlineStr">
        <is>
          <t>1. Нажать «Хотел бы купить»
2. Указать количество 2 и комментарий
3. Отправить</t>
        </is>
      </c>
      <c r="I77" s="27" t="inlineStr"/>
      <c r="J77" s="27" t="inlineStr">
        <is>
          <t>Окно с пояснением (без обязательств), количество по умолчанию 1 (минимум 1), необязательный комментарий; после отправки — «Спасибо за отзыв!», окно закрывается через ~2 с; кнопка остаётся; гостю кнопка не показывается</t>
        </is>
      </c>
      <c r="K77" s="27" t="inlineStr">
        <is>
          <t>PRD Bo'lsa olar edim §5–6</t>
        </is>
      </c>
      <c r="L77" s="29" t="inlineStr">
        <is>
          <t>Да</t>
        </is>
      </c>
      <c r="M77" s="27" t="inlineStr">
        <is>
          <t>Нужен товар без остатка и вход пользователя</t>
        </is>
      </c>
      <c r="N77" s="29" t="inlineStr">
        <is>
          <t>Не автоматизирован</t>
        </is>
      </c>
      <c r="O77" s="27" t="inlineStr"/>
      <c r="P77" s="29" t="inlineStr">
        <is>
          <t>Не выполнен</t>
        </is>
      </c>
      <c r="Q77" s="27" t="inlineStr"/>
    </row>
    <row r="78" ht="34" customHeight="1">
      <c r="A78" s="30" t="inlineStr">
        <is>
          <t>FAV-001</t>
        </is>
      </c>
      <c r="B78" s="31" t="inlineStr">
        <is>
          <t>Избранное</t>
        </is>
      </c>
      <c r="C78" s="31" t="inlineStr">
        <is>
          <t>Избранное</t>
        </is>
      </c>
      <c r="D78" s="32" t="inlineStr">
        <is>
          <t>Пустое избранное</t>
        </is>
      </c>
      <c r="E78" s="33" t="inlineStr">
        <is>
          <t>P3</t>
        </is>
      </c>
      <c r="F78" s="33" t="inlineStr">
        <is>
          <t>UI</t>
        </is>
      </c>
      <c r="G78" s="31" t="inlineStr">
        <is>
          <t>Пользователь авторизован как Мастер; избранное пусто</t>
        </is>
      </c>
      <c r="H78" s="31" t="inlineStr">
        <is>
          <t>1. Открыть /ru/favourites</t>
        </is>
      </c>
      <c r="I78" s="31" t="inlineStr"/>
      <c r="J78" s="31" t="inlineStr">
        <is>
          <t>Сообщение «Ваших любимых товаров пока нет» и кнопка «Главная страница»</t>
        </is>
      </c>
      <c r="K78" s="31" t="inlineStr"/>
      <c r="L78" s="33" t="inlineStr">
        <is>
          <t>Да</t>
        </is>
      </c>
      <c r="M78" s="31" t="inlineStr">
        <is>
          <t>Страница избранного не найдена на staging (см. PDP-007)</t>
        </is>
      </c>
      <c r="N78" s="33" t="inlineStr">
        <is>
          <t>Не автоматизирован</t>
        </is>
      </c>
      <c r="O78" s="31" t="inlineStr"/>
      <c r="P78" s="33" t="inlineStr">
        <is>
          <t>Не выполнен</t>
        </is>
      </c>
      <c r="Q78" s="31" t="inlineStr"/>
    </row>
    <row r="79" ht="34" customHeight="1">
      <c r="A79" s="30" t="inlineStr">
        <is>
          <t>FAV-002</t>
        </is>
      </c>
      <c r="B79" s="31" t="inlineStr">
        <is>
          <t>Избранное</t>
        </is>
      </c>
      <c r="C79" s="31" t="inlineStr">
        <is>
          <t>Избранное</t>
        </is>
      </c>
      <c r="D79" s="32" t="inlineStr">
        <is>
          <t>Добавление товара в избранное из списка</t>
        </is>
      </c>
      <c r="E79" s="33" t="inlineStr">
        <is>
          <t>P2</t>
        </is>
      </c>
      <c r="F79" s="33" t="inlineStr">
        <is>
          <t>Functional</t>
        </is>
      </c>
      <c r="G79" s="31" t="inlineStr">
        <is>
          <t>Пользователь авторизован как Мастер</t>
        </is>
      </c>
      <c r="H79" s="31" t="inlineStr">
        <is>
          <t>1. На главной нажать сердечко у карточки
2. Открыть «Избранное»</t>
        </is>
      </c>
      <c r="I79" s="31" t="inlineStr"/>
      <c r="J79" s="31" t="inlineStr">
        <is>
          <t>Товар отображается в избранном</t>
        </is>
      </c>
      <c r="K79" s="31" t="inlineStr"/>
      <c r="L79" s="33" t="inlineStr">
        <is>
          <t>Да</t>
        </is>
      </c>
      <c r="M79" s="31" t="inlineStr">
        <is>
          <t>Страница избранного не найдена на staging; гость видит окно входа (FAV-X01)</t>
        </is>
      </c>
      <c r="N79" s="33" t="inlineStr">
        <is>
          <t>Не автоматизирован</t>
        </is>
      </c>
      <c r="O79" s="31" t="inlineStr"/>
      <c r="P79" s="33" t="inlineStr">
        <is>
          <t>Не выполнен</t>
        </is>
      </c>
      <c r="Q79" s="31" t="inlineStr"/>
    </row>
    <row r="80" ht="48" customHeight="1">
      <c r="A80" s="30" t="inlineStr">
        <is>
          <t>FAV-003</t>
        </is>
      </c>
      <c r="B80" s="31" t="inlineStr">
        <is>
          <t>Избранное</t>
        </is>
      </c>
      <c r="C80" s="31" t="inlineStr">
        <is>
          <t>Избранное</t>
        </is>
      </c>
      <c r="D80" s="32" t="inlineStr">
        <is>
          <t>Удаление товара из избранного</t>
        </is>
      </c>
      <c r="E80" s="33" t="inlineStr">
        <is>
          <t>P2</t>
        </is>
      </c>
      <c r="F80" s="33" t="inlineStr">
        <is>
          <t>Functional</t>
        </is>
      </c>
      <c r="G80" s="31" t="inlineStr">
        <is>
          <t>Пользователь авторизован как Мастер; в избранном есть товар</t>
        </is>
      </c>
      <c r="H80" s="31" t="inlineStr">
        <is>
          <t>1. Нажать на закрашенное сердечко</t>
        </is>
      </c>
      <c r="I80" s="31" t="inlineStr"/>
      <c r="J80" s="31" t="inlineStr">
        <is>
          <t>Товар удалён из избранного, иконка не закрашена</t>
        </is>
      </c>
      <c r="K80" s="31" t="inlineStr"/>
      <c r="L80" s="33" t="inlineStr">
        <is>
          <t>Да</t>
        </is>
      </c>
      <c r="M80" s="31" t="inlineStr">
        <is>
          <t>Страница избранного не найдена на staging</t>
        </is>
      </c>
      <c r="N80" s="33" t="inlineStr">
        <is>
          <t>Не автоматизирован</t>
        </is>
      </c>
      <c r="O80" s="31" t="inlineStr"/>
      <c r="P80" s="33" t="inlineStr">
        <is>
          <t>Не выполнен</t>
        </is>
      </c>
      <c r="Q80" s="31" t="inlineStr"/>
    </row>
    <row r="81" ht="48" customHeight="1">
      <c r="A81" s="30" t="inlineStr">
        <is>
          <t>FAV-004</t>
        </is>
      </c>
      <c r="B81" s="31" t="inlineStr">
        <is>
          <t>Избранное</t>
        </is>
      </c>
      <c r="C81" s="31" t="inlineStr">
        <is>
          <t>Избранное</t>
        </is>
      </c>
      <c r="D81" s="32" t="inlineStr">
        <is>
          <t>Избранное сохраняется после выхода и входа</t>
        </is>
      </c>
      <c r="E81" s="33" t="inlineStr">
        <is>
          <t>P3</t>
        </is>
      </c>
      <c r="F81" s="33" t="inlineStr">
        <is>
          <t>Functional</t>
        </is>
      </c>
      <c r="G81" s="31" t="inlineStr">
        <is>
          <t>Пользователь авторизован как Мастер; в избранном есть товар</t>
        </is>
      </c>
      <c r="H81" s="31" t="inlineStr">
        <is>
          <t>1. Выйти
2. Войти снова
3. Открыть «Избранное»</t>
        </is>
      </c>
      <c r="I81" s="31" t="inlineStr"/>
      <c r="J81" s="31" t="inlineStr">
        <is>
          <t>Товар по-прежнему в избранном (хранится на сервере)</t>
        </is>
      </c>
      <c r="K81" s="31" t="inlineStr"/>
      <c r="L81" s="33" t="inlineStr">
        <is>
          <t>Да</t>
        </is>
      </c>
      <c r="M81" s="31" t="inlineStr">
        <is>
          <t>Страница избранного не найдена на staging</t>
        </is>
      </c>
      <c r="N81" s="33" t="inlineStr">
        <is>
          <t>Не автоматизирован</t>
        </is>
      </c>
      <c r="O81" s="31" t="inlineStr"/>
      <c r="P81" s="33" t="inlineStr">
        <is>
          <t>Не выполнен</t>
        </is>
      </c>
      <c r="Q81" s="31" t="inlineStr"/>
    </row>
    <row r="82" ht="48" customHeight="1">
      <c r="A82" s="30" t="inlineStr">
        <is>
          <t>FAV-005</t>
        </is>
      </c>
      <c r="B82" s="31" t="inlineStr">
        <is>
          <t>Избранное</t>
        </is>
      </c>
      <c r="C82" s="31" t="inlineStr">
        <is>
          <t>Избранное</t>
        </is>
      </c>
      <c r="D82" s="32" t="inlineStr">
        <is>
          <t>Добавление в корзину из избранного</t>
        </is>
      </c>
      <c r="E82" s="33" t="inlineStr">
        <is>
          <t>P3</t>
        </is>
      </c>
      <c r="F82" s="33" t="inlineStr">
        <is>
          <t>Functional</t>
        </is>
      </c>
      <c r="G82" s="31" t="inlineStr">
        <is>
          <t>Пользователь авторизован как Мастер; в избранном есть товар</t>
        </is>
      </c>
      <c r="H82" s="31" t="inlineStr">
        <is>
          <t>1. Нажать кнопку корзины на карточке в избранном</t>
        </is>
      </c>
      <c r="I82" s="31" t="inlineStr"/>
      <c r="J82" s="31" t="inlineStr">
        <is>
          <t>Товар добавлен в корзину, бейдж обновился</t>
        </is>
      </c>
      <c r="K82" s="31" t="inlineStr"/>
      <c r="L82" s="33" t="inlineStr">
        <is>
          <t>Да</t>
        </is>
      </c>
      <c r="M82" s="31" t="inlineStr">
        <is>
          <t>Страница избранного не найдена на staging</t>
        </is>
      </c>
      <c r="N82" s="33" t="inlineStr">
        <is>
          <t>Не автоматизирован</t>
        </is>
      </c>
      <c r="O82" s="31" t="inlineStr"/>
      <c r="P82" s="33" t="inlineStr">
        <is>
          <t>Не выполнен</t>
        </is>
      </c>
      <c r="Q82" s="31" t="inlineStr"/>
    </row>
    <row r="83" ht="48" customHeight="1">
      <c r="A83" s="26" t="inlineStr">
        <is>
          <t>CART-001</t>
        </is>
      </c>
      <c r="B83" s="27" t="inlineStr">
        <is>
          <t>Корзина</t>
        </is>
      </c>
      <c r="C83" s="27" t="inlineStr">
        <is>
          <t>Добавление</t>
        </is>
      </c>
      <c r="D83" s="28" t="inlineStr">
        <is>
          <t>Добавление товара с карточки: степпер и бейдж</t>
        </is>
      </c>
      <c r="E83" s="29" t="inlineStr">
        <is>
          <t>P1</t>
        </is>
      </c>
      <c r="F83" s="29" t="inlineStr">
        <is>
          <t>Smoke</t>
        </is>
      </c>
      <c r="G83" s="27" t="inlineStr">
        <is>
          <t>Пользователь авторизован как Мастер; корзина пуста</t>
        </is>
      </c>
      <c r="H83" s="27" t="inlineStr">
        <is>
          <t>1. На главной нажать кнопку корзины у товара</t>
        </is>
      </c>
      <c r="I83" s="27" t="inlineStr"/>
      <c r="J83" s="27" t="inlineStr">
        <is>
          <t>На карточке появился степпер с 1, бейдж корзины = 1, тост «Товар добавлен»</t>
        </is>
      </c>
      <c r="K83" s="27" t="inlineStr"/>
      <c r="L83" s="29" t="inlineStr">
        <is>
          <t>Да</t>
        </is>
      </c>
      <c r="M83" s="27" t="inlineStr"/>
      <c r="N83" s="29" t="inlineStr">
        <is>
          <t>Автоматизирован</t>
        </is>
      </c>
      <c r="O83" s="27" t="inlineStr">
        <is>
          <t>storefront/cart/CartTest#addingProductShowsStepperOnCardAndUpdatesCartBadge</t>
        </is>
      </c>
      <c r="P83" s="29" t="inlineStr">
        <is>
          <t>Не выполнен</t>
        </is>
      </c>
      <c r="Q83" s="27" t="inlineStr"/>
    </row>
    <row r="84" ht="48" customHeight="1">
      <c r="A84" s="26" t="inlineStr">
        <is>
          <t>CART-002</t>
        </is>
      </c>
      <c r="B84" s="27" t="inlineStr">
        <is>
          <t>Корзина</t>
        </is>
      </c>
      <c r="C84" s="27" t="inlineStr">
        <is>
          <t>Добавление</t>
        </is>
      </c>
      <c r="D84" s="28" t="inlineStr">
        <is>
          <t>Добавленный товар появляется в корзине с верным количеством</t>
        </is>
      </c>
      <c r="E84" s="29" t="inlineStr">
        <is>
          <t>P1</t>
        </is>
      </c>
      <c r="F84" s="29" t="inlineStr">
        <is>
          <t>Smoke</t>
        </is>
      </c>
      <c r="G84" s="27" t="inlineStr">
        <is>
          <t>Пользователь авторизован как Мастер; корзина пуста</t>
        </is>
      </c>
      <c r="H84" s="27" t="inlineStr">
        <is>
          <t>1. Добавить товар
2. Открыть корзину</t>
        </is>
      </c>
      <c r="I84" s="27" t="inlineStr"/>
      <c r="J84" s="27" t="inlineStr">
        <is>
          <t>Товар в корзине, количество 1</t>
        </is>
      </c>
      <c r="K84" s="27" t="inlineStr"/>
      <c r="L84" s="29" t="inlineStr">
        <is>
          <t>Да</t>
        </is>
      </c>
      <c r="M84" s="27" t="inlineStr"/>
      <c r="N84" s="29" t="inlineStr">
        <is>
          <t>Автоматизирован</t>
        </is>
      </c>
      <c r="O84" s="27" t="inlineStr">
        <is>
          <t>storefront/cart/CartTest#addedProductAppearsInCartPageWithCorrectQuantity</t>
        </is>
      </c>
      <c r="P84" s="29" t="inlineStr">
        <is>
          <t>Не выполнен</t>
        </is>
      </c>
      <c r="Q84" s="27" t="inlineStr"/>
    </row>
    <row r="85" ht="34" customHeight="1">
      <c r="A85" s="26" t="inlineStr">
        <is>
          <t>CART-003</t>
        </is>
      </c>
      <c r="B85" s="27" t="inlineStr">
        <is>
          <t>Корзина</t>
        </is>
      </c>
      <c r="C85" s="27" t="inlineStr">
        <is>
          <t>Количество</t>
        </is>
      </c>
      <c r="D85" s="28" t="inlineStr">
        <is>
          <t>Увеличение количества в корзине</t>
        </is>
      </c>
      <c r="E85" s="29" t="inlineStr">
        <is>
          <t>P1</t>
        </is>
      </c>
      <c r="F85" s="29" t="inlineStr">
        <is>
          <t>Functional</t>
        </is>
      </c>
      <c r="G85" s="27" t="inlineStr">
        <is>
          <t>Пользователь авторизован как Мастер; в корзине 1 товар</t>
        </is>
      </c>
      <c r="H85" s="27" t="inlineStr">
        <is>
          <t>1. Нажать «+» в строке товара</t>
        </is>
      </c>
      <c r="I85" s="27" t="inlineStr"/>
      <c r="J85" s="27" t="inlineStr">
        <is>
          <t>Количество 2, «Количество товаров» и суммы пересчитаны</t>
        </is>
      </c>
      <c r="K85" s="27" t="inlineStr"/>
      <c r="L85" s="29" t="inlineStr">
        <is>
          <t>Да</t>
        </is>
      </c>
      <c r="M85" s="27" t="inlineStr"/>
      <c r="N85" s="29" t="inlineStr">
        <is>
          <t>Автоматизирован</t>
        </is>
      </c>
      <c r="O85" s="27" t="inlineStr">
        <is>
          <t>storefront/cart/CartTest#increasingQuantityInCartUpdatesItemsCount</t>
        </is>
      </c>
      <c r="P85" s="29" t="inlineStr">
        <is>
          <t>Не выполнен</t>
        </is>
      </c>
      <c r="Q85" s="27" t="inlineStr"/>
    </row>
    <row r="86" ht="48" customHeight="1">
      <c r="A86" s="26" t="inlineStr">
        <is>
          <t>CART-004</t>
        </is>
      </c>
      <c r="B86" s="27" t="inlineStr">
        <is>
          <t>Корзина</t>
        </is>
      </c>
      <c r="C86" s="27" t="inlineStr">
        <is>
          <t>Количество</t>
        </is>
      </c>
      <c r="D86" s="28" t="inlineStr">
        <is>
          <t>Уменьшение количества до нуля удаляет товар</t>
        </is>
      </c>
      <c r="E86" s="29" t="inlineStr">
        <is>
          <t>P2</t>
        </is>
      </c>
      <c r="F86" s="29" t="inlineStr">
        <is>
          <t>Functional</t>
        </is>
      </c>
      <c r="G86" s="27" t="inlineStr">
        <is>
          <t>Пользователь авторизован как Мастер; в корзине 1 товар с кол-вом 1</t>
        </is>
      </c>
      <c r="H86" s="27" t="inlineStr">
        <is>
          <t>1. Нажать «−»</t>
        </is>
      </c>
      <c r="I86" s="27" t="inlineStr"/>
      <c r="J86" s="27" t="inlineStr">
        <is>
          <t>Товар удалён, корзина пуста (empty state)</t>
        </is>
      </c>
      <c r="K86" s="27" t="inlineStr"/>
      <c r="L86" s="29" t="inlineStr">
        <is>
          <t>Да</t>
        </is>
      </c>
      <c r="M86" s="27" t="inlineStr"/>
      <c r="N86" s="29" t="inlineStr">
        <is>
          <t>Автоматизирован</t>
        </is>
      </c>
      <c r="O86" s="27" t="inlineStr">
        <is>
          <t>storefront/cart/CartTest#decreasingQuantityToZeroRemovesItemAndEmptiesCart</t>
        </is>
      </c>
      <c r="P86" s="29" t="inlineStr">
        <is>
          <t>Не выполнен</t>
        </is>
      </c>
      <c r="Q86" s="27" t="inlineStr"/>
    </row>
    <row r="87" ht="48" customHeight="1">
      <c r="A87" s="26" t="inlineStr">
        <is>
          <t>CART-005</t>
        </is>
      </c>
      <c r="B87" s="27" t="inlineStr">
        <is>
          <t>Корзина</t>
        </is>
      </c>
      <c r="C87" s="27" t="inlineStr">
        <is>
          <t>Удаление</t>
        </is>
      </c>
      <c r="D87" s="28" t="inlineStr">
        <is>
          <t>Удаление одного товара не затрагивает остальные</t>
        </is>
      </c>
      <c r="E87" s="29" t="inlineStr">
        <is>
          <t>P2</t>
        </is>
      </c>
      <c r="F87" s="29" t="inlineStr">
        <is>
          <t>Functional</t>
        </is>
      </c>
      <c r="G87" s="27" t="inlineStr">
        <is>
          <t>Пользователь авторизован как Мастер; в корзине 2+ товара в наличии</t>
        </is>
      </c>
      <c r="H87" s="27" t="inlineStr">
        <is>
          <t>1. Отметить один товар
2. Нажать «Удалить»</t>
        </is>
      </c>
      <c r="I87" s="27" t="inlineStr"/>
      <c r="J87" s="27" t="inlineStr">
        <is>
          <t>Удалён только отмеченный товар, остальные на месте</t>
        </is>
      </c>
      <c r="K87" s="27" t="inlineStr"/>
      <c r="L87" s="29" t="inlineStr">
        <is>
          <t>Да</t>
        </is>
      </c>
      <c r="M87" s="27" t="inlineStr"/>
      <c r="N87" s="29" t="inlineStr">
        <is>
          <t>Автоматизирован</t>
        </is>
      </c>
      <c r="O87" s="27" t="inlineStr">
        <is>
          <t>storefront/cart/CartTest#removingOneItemKeepsOthersInCart</t>
        </is>
      </c>
      <c r="P87" s="29" t="inlineStr">
        <is>
          <t>Не выполнен</t>
        </is>
      </c>
      <c r="Q87" s="27" t="inlineStr"/>
    </row>
    <row r="88" ht="48" customHeight="1">
      <c r="A88" s="26" t="inlineStr">
        <is>
          <t>CART-006</t>
        </is>
      </c>
      <c r="B88" s="27" t="inlineStr">
        <is>
          <t>Корзина</t>
        </is>
      </c>
      <c r="C88" s="27" t="inlineStr">
        <is>
          <t>Расчёт</t>
        </is>
      </c>
      <c r="D88" s="28" t="inlineStr">
        <is>
          <t>Корректность расчёта итогов корзины</t>
        </is>
      </c>
      <c r="E88" s="29" t="inlineStr">
        <is>
          <t>P1</t>
        </is>
      </c>
      <c r="F88" s="29" t="inlineStr">
        <is>
          <t>Functional</t>
        </is>
      </c>
      <c r="G88" s="27" t="inlineStr">
        <is>
          <t>Пользователь авторизован как Мастер; в корзине 2+ товара в наличии</t>
        </is>
      </c>
      <c r="H88" s="27" t="inlineStr">
        <is>
          <t>1. Открыть корзину
2. Сверить блок итогов</t>
        </is>
      </c>
      <c r="I88" s="27" t="inlineStr"/>
      <c r="J88" s="27" t="inlineStr">
        <is>
          <t>«Количество товаров» = сумма количеств; «Цена товаров» = Σ(цена × кол-во); «Итого» = Цена товаров − Скидка</t>
        </is>
      </c>
      <c r="K88" s="27" t="inlineStr"/>
      <c r="L88" s="29" t="inlineStr">
        <is>
          <t>Да</t>
        </is>
      </c>
      <c r="M88" s="27" t="inlineStr"/>
      <c r="N88" s="29" t="inlineStr">
        <is>
          <t>Автоматизирован</t>
        </is>
      </c>
      <c r="O88" s="27" t="inlineStr">
        <is>
          <t>storefront/cart/CartSummaryTest#cartTotalsAreConsistent</t>
        </is>
      </c>
      <c r="P88" s="29" t="inlineStr">
        <is>
          <t>Не выполнен</t>
        </is>
      </c>
      <c r="Q88" s="27" t="inlineStr"/>
    </row>
    <row r="89" ht="48" customHeight="1">
      <c r="A89" s="26" t="inlineStr">
        <is>
          <t>CART-007</t>
        </is>
      </c>
      <c r="B89" s="27" t="inlineStr">
        <is>
          <t>Корзина</t>
        </is>
      </c>
      <c r="C89" s="27" t="inlineStr">
        <is>
          <t>Выбор</t>
        </is>
      </c>
      <c r="D89" s="28" t="inlineStr">
        <is>
          <t>Снятие отметки с товара пересчитывает итог</t>
        </is>
      </c>
      <c r="E89" s="29" t="inlineStr">
        <is>
          <t>P1</t>
        </is>
      </c>
      <c r="F89" s="29" t="inlineStr">
        <is>
          <t>Functional</t>
        </is>
      </c>
      <c r="G89" s="27" t="inlineStr">
        <is>
          <t>Пользователь авторизован как Мастер; в корзине 2+ товара в наличии</t>
        </is>
      </c>
      <c r="H89" s="27" t="inlineStr">
        <is>
          <t>1. Снять чекбокс с одного товара</t>
        </is>
      </c>
      <c r="I89" s="27" t="inlineStr"/>
      <c r="J89" s="27" t="inlineStr">
        <is>
          <t>Итог считается только по отмеченным товарам; в оформление переходят только они</t>
        </is>
      </c>
      <c r="K89" s="27" t="inlineStr"/>
      <c r="L89" s="29" t="inlineStr">
        <is>
          <t>Да</t>
        </is>
      </c>
      <c r="M89" s="27" t="inlineStr"/>
      <c r="N89" s="29" t="inlineStr">
        <is>
          <t>Автоматизирован</t>
        </is>
      </c>
      <c r="O89" s="27" t="inlineStr">
        <is>
          <t>storefront/cart/CartSummaryTest#uncheckingItemRecalculatesTotal</t>
        </is>
      </c>
      <c r="P89" s="29" t="inlineStr">
        <is>
          <t>Не выполнен</t>
        </is>
      </c>
      <c r="Q89" s="27" t="inlineStr"/>
    </row>
    <row r="90" ht="48" customHeight="1">
      <c r="A90" s="26" t="inlineStr">
        <is>
          <t>CART-008</t>
        </is>
      </c>
      <c r="B90" s="27" t="inlineStr">
        <is>
          <t>Корзина</t>
        </is>
      </c>
      <c r="C90" s="27" t="inlineStr">
        <is>
          <t>Выбор</t>
        </is>
      </c>
      <c r="D90" s="28" t="inlineStr">
        <is>
          <t>«Выбрать все»</t>
        </is>
      </c>
      <c r="E90" s="29" t="inlineStr">
        <is>
          <t>P2</t>
        </is>
      </c>
      <c r="F90" s="29" t="inlineStr">
        <is>
          <t>Functional</t>
        </is>
      </c>
      <c r="G90" s="27" t="inlineStr">
        <is>
          <t>Пользователь авторизован как Мастер; в корзине 2+ товара в наличии</t>
        </is>
      </c>
      <c r="H90" s="27" t="inlineStr">
        <is>
          <t>1. Снять «Выбрать все»
2. Поставить снова</t>
        </is>
      </c>
      <c r="I90" s="27" t="inlineStr"/>
      <c r="J90" s="27" t="inlineStr">
        <is>
          <t>Все чекбоксы снимаются / ставятся; итог пересчитывается</t>
        </is>
      </c>
      <c r="K90" s="27" t="inlineStr"/>
      <c r="L90" s="29" t="inlineStr">
        <is>
          <t>Да</t>
        </is>
      </c>
      <c r="M90" s="27" t="inlineStr"/>
      <c r="N90" s="29" t="inlineStr">
        <is>
          <t>Автоматизирован</t>
        </is>
      </c>
      <c r="O90" s="27" t="inlineStr">
        <is>
          <t>storefront/cart/CartSummaryTest#selectAllTogglesEveryRow</t>
        </is>
      </c>
      <c r="P90" s="29" t="inlineStr">
        <is>
          <t>Не выполнен</t>
        </is>
      </c>
      <c r="Q90" s="27" t="inlineStr"/>
    </row>
    <row r="91" ht="48" customHeight="1">
      <c r="A91" s="26" t="inlineStr">
        <is>
          <t>CART-009</t>
        </is>
      </c>
      <c r="B91" s="27" t="inlineStr">
        <is>
          <t>Корзина</t>
        </is>
      </c>
      <c r="C91" s="27" t="inlineStr">
        <is>
          <t>Удаление</t>
        </is>
      </c>
      <c r="D91" s="28" t="inlineStr">
        <is>
          <t>Массовое удаление выбранных товаров</t>
        </is>
      </c>
      <c r="E91" s="29" t="inlineStr">
        <is>
          <t>P2</t>
        </is>
      </c>
      <c r="F91" s="29" t="inlineStr">
        <is>
          <t>Functional</t>
        </is>
      </c>
      <c r="G91" s="27" t="inlineStr">
        <is>
          <t>Пользователь авторизован как Мастер; в корзине 2+ товара в наличии</t>
        </is>
      </c>
      <c r="H91" s="27" t="inlineStr">
        <is>
          <t>1. Отметить «Выбрать все»
2. Нажать «Удалить»</t>
        </is>
      </c>
      <c r="I91" s="27" t="inlineStr"/>
      <c r="J91" s="27" t="inlineStr">
        <is>
          <t>Корзина пуста, бейдж в шапке исчез/0</t>
        </is>
      </c>
      <c r="K91" s="27" t="inlineStr"/>
      <c r="L91" s="29" t="inlineStr">
        <is>
          <t>Да</t>
        </is>
      </c>
      <c r="M91" s="27" t="inlineStr">
        <is>
          <t>Частично покрыто CART-005; массовое удаление — вручную</t>
        </is>
      </c>
      <c r="N91" s="29" t="inlineStr">
        <is>
          <t>Частично</t>
        </is>
      </c>
      <c r="O91" s="27" t="inlineStr">
        <is>
          <t>storefront/cart/CartTest#removingOneItemKeepsOthersInCart (удаление одного)</t>
        </is>
      </c>
      <c r="P91" s="29" t="inlineStr">
        <is>
          <t>Не выполнен</t>
        </is>
      </c>
      <c r="Q91" s="27" t="inlineStr"/>
    </row>
    <row r="92" ht="48" customHeight="1">
      <c r="A92" s="26" t="inlineStr">
        <is>
          <t>CART-010</t>
        </is>
      </c>
      <c r="B92" s="27" t="inlineStr">
        <is>
          <t>Корзина</t>
        </is>
      </c>
      <c r="C92" s="27" t="inlineStr">
        <is>
          <t>Количество</t>
        </is>
      </c>
      <c r="D92" s="28" t="inlineStr">
        <is>
          <t>Ручной ввод количества больше остатка</t>
        </is>
      </c>
      <c r="E92" s="29" t="inlineStr">
        <is>
          <t>P1</t>
        </is>
      </c>
      <c r="F92" s="29" t="inlineStr">
        <is>
          <t>Negative</t>
        </is>
      </c>
      <c r="G92" s="27" t="inlineStr">
        <is>
          <t>Пользователь авторизован как Мастер; в корзине товар с остатком N</t>
        </is>
      </c>
      <c r="H92" s="27" t="inlineStr">
        <is>
          <t>1. Ввести в поле количества N+10</t>
        </is>
      </c>
      <c r="I92" s="27" t="inlineStr"/>
      <c r="J92" s="27" t="inlineStr">
        <is>
          <t>Количество ограничено остатком или показано предупреждение; итог не превышает доступное</t>
        </is>
      </c>
      <c r="K92" s="27" t="inlineStr"/>
      <c r="L92" s="29" t="inlineStr">
        <is>
          <t>Да</t>
        </is>
      </c>
      <c r="M92" s="27" t="inlineStr"/>
      <c r="N92" s="29" t="inlineStr">
        <is>
          <t>Автоматизирован</t>
        </is>
      </c>
      <c r="O92" s="27" t="inlineStr">
        <is>
          <t>storefront/cart/CartSummaryTest#manualQuantityAboveStockIsRejected</t>
        </is>
      </c>
      <c r="P92" s="29" t="inlineStr">
        <is>
          <t>Не выполнен</t>
        </is>
      </c>
      <c r="Q92" s="27" t="inlineStr"/>
    </row>
    <row r="93" ht="48" customHeight="1">
      <c r="A93" s="26" t="inlineStr">
        <is>
          <t>CART-011</t>
        </is>
      </c>
      <c r="B93" s="27" t="inlineStr">
        <is>
          <t>Корзина</t>
        </is>
      </c>
      <c r="C93" s="27" t="inlineStr">
        <is>
          <t>Сохранение</t>
        </is>
      </c>
      <c r="D93" s="28" t="inlineStr">
        <is>
          <t>Корзина сохраняется после перезагрузки и повторного входа</t>
        </is>
      </c>
      <c r="E93" s="29" t="inlineStr">
        <is>
          <t>P1</t>
        </is>
      </c>
      <c r="F93" s="29" t="inlineStr">
        <is>
          <t>Functional</t>
        </is>
      </c>
      <c r="G93" s="27" t="inlineStr">
        <is>
          <t>Пользователь авторизован как Мастер; в корзине 2+ товара в наличии</t>
        </is>
      </c>
      <c r="H93" s="27" t="inlineStr">
        <is>
          <t>1. Обновить страницу
2. Выйти и войти снова</t>
        </is>
      </c>
      <c r="I93" s="27" t="inlineStr"/>
      <c r="J93" s="27" t="inlineStr">
        <is>
          <t>Состав и количество товаров не изменились</t>
        </is>
      </c>
      <c r="K93" s="27" t="inlineStr"/>
      <c r="L93" s="29" t="inlineStr">
        <is>
          <t>Да</t>
        </is>
      </c>
      <c r="M93" s="27" t="inlineStr">
        <is>
          <t>Проверены перезагрузка и новая вкладка; «повторный вход» — вручную</t>
        </is>
      </c>
      <c r="N93" s="29" t="inlineStr">
        <is>
          <t>Частично автоматизирован</t>
        </is>
      </c>
      <c r="O93" s="27" t="inlineStr">
        <is>
          <t>storefront/cart/CartSummaryTest#cartPersistsAcrossReloadAndTabs</t>
        </is>
      </c>
      <c r="P93" s="29" t="inlineStr">
        <is>
          <t>Не выполнен</t>
        </is>
      </c>
      <c r="Q93" s="27" t="inlineStr"/>
    </row>
    <row r="94" ht="48" customHeight="1">
      <c r="A94" s="26" t="inlineStr">
        <is>
          <t>CART-012</t>
        </is>
      </c>
      <c r="B94" s="27" t="inlineStr">
        <is>
          <t>Корзина</t>
        </is>
      </c>
      <c r="C94" s="27" t="inlineStr">
        <is>
          <t>Отображение</t>
        </is>
      </c>
      <c r="D94" s="28" t="inlineStr">
        <is>
          <t>Строка товара в корзине</t>
        </is>
      </c>
      <c r="E94" s="29" t="inlineStr">
        <is>
          <t>P3</t>
        </is>
      </c>
      <c r="F94" s="29" t="inlineStr">
        <is>
          <t>UI</t>
        </is>
      </c>
      <c r="G94" s="27" t="inlineStr">
        <is>
          <t>Пользователь авторизован как Мастер; в корзине 2+ товара в наличии</t>
        </is>
      </c>
      <c r="H94" s="27" t="inlineStr">
        <is>
          <t>1. Осмотреть строку товара</t>
        </is>
      </c>
      <c r="I94" s="27" t="inlineStr"/>
      <c r="J94" s="27" t="inlineStr">
        <is>
          <t>Изображение, название с ID, магазин/склад и остаток, цена, степпер количества, чекбокс</t>
        </is>
      </c>
      <c r="K94" s="27" t="inlineStr"/>
      <c r="L94" s="29" t="inlineStr">
        <is>
          <t>Да</t>
        </is>
      </c>
      <c r="M94" s="27" t="inlineStr"/>
      <c r="N94" s="29" t="inlineStr">
        <is>
          <t>Автоматизирован</t>
        </is>
      </c>
      <c r="O94" s="27" t="inlineStr">
        <is>
          <t>storefront/cart/CartSummaryTest#cartRowShowsMainElements</t>
        </is>
      </c>
      <c r="P94" s="29" t="inlineStr">
        <is>
          <t>Не выполнен</t>
        </is>
      </c>
      <c r="Q94" s="27" t="inlineStr"/>
    </row>
    <row r="95" ht="48" customHeight="1">
      <c r="A95" s="26" t="inlineStr">
        <is>
          <t>CART-013</t>
        </is>
      </c>
      <c r="B95" s="27" t="inlineStr">
        <is>
          <t>Корзина</t>
        </is>
      </c>
      <c r="C95" s="27" t="inlineStr">
        <is>
          <t>Оформление</t>
        </is>
      </c>
      <c r="D95" s="28" t="inlineStr">
        <is>
          <t>Кнопка «Оформить» без выбранных товаров</t>
        </is>
      </c>
      <c r="E95" s="29" t="inlineStr">
        <is>
          <t>P2</t>
        </is>
      </c>
      <c r="F95" s="29" t="inlineStr">
        <is>
          <t>Negative</t>
        </is>
      </c>
      <c r="G95" s="27" t="inlineStr">
        <is>
          <t>Пользователь авторизован как Мастер; в корзине 2+ товара в наличии</t>
        </is>
      </c>
      <c r="H95" s="27" t="inlineStr">
        <is>
          <t>1. Снять все отметки
2. Нажать «Оформить»</t>
        </is>
      </c>
      <c r="I95" s="27" t="inlineStr"/>
      <c r="J95" s="27" t="inlineStr">
        <is>
          <t>Кнопка неактивна или показано сообщение «Выберите товары»</t>
        </is>
      </c>
      <c r="K95" s="27" t="inlineStr"/>
      <c r="L95" s="29" t="inlineStr">
        <is>
          <t>Да</t>
        </is>
      </c>
      <c r="M95" s="27" t="inlineStr"/>
      <c r="N95" s="29" t="inlineStr">
        <is>
          <t>Автоматизирован</t>
        </is>
      </c>
      <c r="O95" s="27" t="inlineStr">
        <is>
          <t>storefront/cart/CartSummaryTest#checkoutWithoutSelectedItems</t>
        </is>
      </c>
      <c r="P95" s="29" t="inlineStr">
        <is>
          <t>Не выполнен</t>
        </is>
      </c>
      <c r="Q95" s="27" t="inlineStr"/>
    </row>
    <row r="96" ht="48" customHeight="1">
      <c r="A96" s="26" t="inlineStr">
        <is>
          <t>CART-014</t>
        </is>
      </c>
      <c r="B96" s="27" t="inlineStr">
        <is>
          <t>Корзина</t>
        </is>
      </c>
      <c r="C96" s="27" t="inlineStr">
        <is>
          <t>Изменения цен</t>
        </is>
      </c>
      <c r="D96" s="28" t="inlineStr">
        <is>
          <t>Изменение цены/наличия товара после добавления в корзину</t>
        </is>
      </c>
      <c r="E96" s="29" t="inlineStr">
        <is>
          <t>P2</t>
        </is>
      </c>
      <c r="F96" s="29" t="inlineStr">
        <is>
          <t>Functional</t>
        </is>
      </c>
      <c r="G96" s="27" t="inlineStr">
        <is>
          <t>Пользователь авторизован как Мастер; товар в корзине; доступ к админке</t>
        </is>
      </c>
      <c r="H96" s="27" t="inlineStr">
        <is>
          <t>1. Изменить цену/обнулить остаток товара в админке
2. Обновить корзину</t>
        </is>
      </c>
      <c r="I96" s="27" t="inlineStr"/>
      <c r="J96" s="27" t="inlineStr">
        <is>
          <t>Отображается актуальная цена; недоступный товар помечен и не может быть оформлен</t>
        </is>
      </c>
      <c r="K96" s="27" t="inlineStr"/>
      <c r="L96" s="29" t="inlineStr">
        <is>
          <t>Частично</t>
        </is>
      </c>
      <c r="M96" s="27" t="inlineStr">
        <is>
          <t>Нужно менять цену/остаток через админку</t>
        </is>
      </c>
      <c r="N96" s="29" t="inlineStr">
        <is>
          <t>Не автоматизирован</t>
        </is>
      </c>
      <c r="O96" s="27" t="inlineStr"/>
      <c r="P96" s="29" t="inlineStr">
        <is>
          <t>Не выполнен</t>
        </is>
      </c>
      <c r="Q96" s="27" t="inlineStr"/>
    </row>
    <row r="97" ht="48" customHeight="1">
      <c r="A97" s="30" t="inlineStr">
        <is>
          <t>CHK-001</t>
        </is>
      </c>
      <c r="B97" s="31" t="inlineStr">
        <is>
          <t>Оформление заказа</t>
        </is>
      </c>
      <c r="C97" s="31" t="inlineStr">
        <is>
          <t>Открытие</t>
        </is>
      </c>
      <c r="D97" s="32" t="inlineStr">
        <is>
          <t>Переход к оформлению заказа</t>
        </is>
      </c>
      <c r="E97" s="33" t="inlineStr">
        <is>
          <t>P1</t>
        </is>
      </c>
      <c r="F97" s="33" t="inlineStr">
        <is>
          <t>Smoke</t>
        </is>
      </c>
      <c r="G97" s="31" t="inlineStr">
        <is>
          <t>Пользователь авторизован как Мастер; в корзине 2+ товара в наличии</t>
        </is>
      </c>
      <c r="H97" s="31" t="inlineStr">
        <is>
          <t>1. В корзине нажать «Оформить»</t>
        </is>
      </c>
      <c r="I97" s="31" t="inlineStr"/>
      <c r="J97" s="31" t="inlineStr">
        <is>
          <t>Открыта /ru/confirmation: ФИО и телефон мастера, способ оплаты, адрес/способ доставки, комментарий, товары, итоги</t>
        </is>
      </c>
      <c r="K97" s="31" t="inlineStr"/>
      <c r="L97" s="33" t="inlineStr">
        <is>
          <t>Да</t>
        </is>
      </c>
      <c r="M97" s="31" t="inlineStr"/>
      <c r="N97" s="33" t="inlineStr">
        <is>
          <t>Автоматизирован</t>
        </is>
      </c>
      <c r="O97" s="31" t="inlineStr">
        <is>
          <t>storefront/checkout/CheckoutViewTest#cartLeadsToCheckout</t>
        </is>
      </c>
      <c r="P97" s="33" t="inlineStr">
        <is>
          <t>Не выполнен</t>
        </is>
      </c>
      <c r="Q97" s="31" t="inlineStr"/>
    </row>
    <row r="98" ht="90" customHeight="1">
      <c r="A98" s="30" t="inlineStr">
        <is>
          <t>CHK-002</t>
        </is>
      </c>
      <c r="B98" s="31" t="inlineStr">
        <is>
          <t>Оформление заказа</t>
        </is>
      </c>
      <c r="C98" s="31" t="inlineStr">
        <is>
          <t>Оплата</t>
        </is>
      </c>
      <c r="D98" s="32" t="inlineStr">
        <is>
          <t>Плитки способов оплаты и предвыбор</t>
        </is>
      </c>
      <c r="E98" s="33" t="inlineStr">
        <is>
          <t>P1</t>
        </is>
      </c>
      <c r="F98" s="33" t="inlineStr">
        <is>
          <t>Functional</t>
        </is>
      </c>
      <c r="G98" s="31" t="inlineStr">
        <is>
          <t>Пользователь авторизован как Мастер; в корзине 2+ товара в наличии</t>
        </is>
      </c>
      <c r="H98" s="31" t="inlineStr">
        <is>
          <t>1. Открыть оформление
2. Посмотреть плитки «Способ оплаты»</t>
        </is>
      </c>
      <c r="I98" s="31" t="inlineStr"/>
      <c r="J98" s="31" t="inlineStr">
        <is>
          <t>Плитки: Наличные, Балл (с балансом баллов), Hamyon/Кошелёк (с балансом кошелька) — только если кошелёк открыт. Предвыбран последний использованный способ (у нового пользователя — Наличные). У каждой плитки 3 различимых состояния: выбрана / доступна / недоступна (с причиной)</t>
        </is>
      </c>
      <c r="K98" s="31" t="inlineStr">
        <is>
          <t>PRD Client Confirmation Page §7</t>
        </is>
      </c>
      <c r="L98" s="33" t="inlineStr">
        <is>
          <t>Да</t>
        </is>
      </c>
      <c r="M98" s="31" t="inlineStr">
        <is>
          <t>Проверены способ оплаты «Наличные» и блоки; плитки баллов/кошелька — вручную</t>
        </is>
      </c>
      <c r="N98" s="33" t="inlineStr">
        <is>
          <t>Частично автоматизирован</t>
        </is>
      </c>
      <c r="O98" s="31" t="inlineStr">
        <is>
          <t>storefront/checkout/CheckoutViewTest#checkoutShowsPaymentAndDelivery</t>
        </is>
      </c>
      <c r="P98" s="33" t="inlineStr">
        <is>
          <t>Не выполнен</t>
        </is>
      </c>
      <c r="Q98" s="31" t="inlineStr"/>
    </row>
    <row r="99" ht="76" customHeight="1">
      <c r="A99" s="30" t="inlineStr">
        <is>
          <t>CHK-003</t>
        </is>
      </c>
      <c r="B99" s="31" t="inlineStr">
        <is>
          <t>Оформление заказа</t>
        </is>
      </c>
      <c r="C99" s="31" t="inlineStr">
        <is>
          <t>Оплата</t>
        </is>
      </c>
      <c r="D99" s="32" t="inlineStr">
        <is>
          <t>Балл недоступен, если баллов меньше суммы заказа</t>
        </is>
      </c>
      <c r="E99" s="33" t="inlineStr">
        <is>
          <t>P2</t>
        </is>
      </c>
      <c r="F99" s="33" t="inlineStr">
        <is>
          <t>Negative</t>
        </is>
      </c>
      <c r="G99" s="31" t="inlineStr">
        <is>
          <t>Пользователь авторизован как Мастер; в корзине 2+ товара в наличии; баллов меньше суммы заказа (у тестового мастера 0)</t>
        </is>
      </c>
      <c r="H99" s="31" t="inlineStr">
        <is>
          <t>1. Открыть оформление
2. Попробовать выбрать «Балл»</t>
        </is>
      </c>
      <c r="I99" s="31" t="inlineStr"/>
      <c r="J99" s="31" t="inlineStr">
        <is>
          <t>Плитка «Балл» недоступна, рядом — короткая причина; заказ баллами оформить нельзя. Баллы — целым числом, без «сум» и дробей</t>
        </is>
      </c>
      <c r="K99" s="31" t="inlineStr">
        <is>
          <t>PRD Client Confirmation Page §7, §15</t>
        </is>
      </c>
      <c r="L99" s="33" t="inlineStr">
        <is>
          <t>Да</t>
        </is>
      </c>
      <c r="M99" s="31" t="inlineStr">
        <is>
          <t>Нужен аккаунт с балансом баллов меньше суммы заказа</t>
        </is>
      </c>
      <c r="N99" s="33" t="inlineStr">
        <is>
          <t>Не автоматизирован</t>
        </is>
      </c>
      <c r="O99" s="31" t="inlineStr"/>
      <c r="P99" s="33" t="inlineStr">
        <is>
          <t>Не выполнен</t>
        </is>
      </c>
      <c r="Q99" s="31" t="inlineStr"/>
    </row>
    <row r="100" ht="62" customHeight="1">
      <c r="A100" s="30" t="inlineStr">
        <is>
          <t>CHK-004</t>
        </is>
      </c>
      <c r="B100" s="31" t="inlineStr">
        <is>
          <t>Оформление заказа</t>
        </is>
      </c>
      <c r="C100" s="31" t="inlineStr">
        <is>
          <t>Оплата</t>
        </is>
      </c>
      <c r="D100" s="32" t="inlineStr">
        <is>
          <t>Оплата баллами при достаточном балансе</t>
        </is>
      </c>
      <c r="E100" s="33" t="inlineStr">
        <is>
          <t>P2</t>
        </is>
      </c>
      <c r="F100" s="33" t="inlineStr">
        <is>
          <t>Functional</t>
        </is>
      </c>
      <c r="G100" s="31" t="inlineStr">
        <is>
          <t>Пользователь авторизован как Мастер; в корзине 2+ товара в наличии; баллов ≥ суммы заказа</t>
        </is>
      </c>
      <c r="H100" s="31" t="inlineStr">
        <is>
          <t>1. Выбрать «Балл»
2. Оформить заказ</t>
        </is>
      </c>
      <c r="I100" s="31" t="inlineStr"/>
      <c r="J100" s="31" t="inlineStr">
        <is>
          <t>Заказ оформлен, баллы списаны на сумму заказа, способ оплаты в заказе — «Балл»</t>
        </is>
      </c>
      <c r="K100" s="31" t="inlineStr"/>
      <c r="L100" s="33" t="inlineStr">
        <is>
          <t>Частично</t>
        </is>
      </c>
      <c r="M100" s="31" t="inlineStr">
        <is>
          <t>Нужен аккаунт с достаточным балансом баллов</t>
        </is>
      </c>
      <c r="N100" s="33" t="inlineStr">
        <is>
          <t>Не автоматизирован</t>
        </is>
      </c>
      <c r="O100" s="31" t="inlineStr"/>
      <c r="P100" s="33" t="inlineStr">
        <is>
          <t>Не выполнен</t>
        </is>
      </c>
      <c r="Q100" s="31" t="inlineStr"/>
    </row>
    <row r="101" ht="76" customHeight="1">
      <c r="A101" s="30" t="inlineStr">
        <is>
          <t>CHK-005</t>
        </is>
      </c>
      <c r="B101" s="31" t="inlineStr">
        <is>
          <t>Оформление заказа</t>
        </is>
      </c>
      <c r="C101" s="31" t="inlineStr">
        <is>
          <t>Доставка</t>
        </is>
      </c>
      <c r="D101" s="32" t="inlineStr">
        <is>
          <t>Список способов доставки</t>
        </is>
      </c>
      <c r="E101" s="33" t="inlineStr">
        <is>
          <t>P2</t>
        </is>
      </c>
      <c r="F101" s="33" t="inlineStr">
        <is>
          <t>Functional</t>
        </is>
      </c>
      <c r="G101" s="31" t="inlineStr">
        <is>
          <t>Пользователь авторизован как Мастер; в корзине 2+ товара в наличии</t>
        </is>
      </c>
      <c r="H101" s="31" t="inlineStr">
        <is>
          <t>1. Открыть выпадающий список «Способ доставки»</t>
        </is>
      </c>
      <c r="I101" s="31" t="inlineStr"/>
      <c r="J101" s="31" t="inlineStr">
        <is>
          <t>Доступны: «До 1 км от офиса Aros», «В офис Ароса», «BTS до твоей двери», «в офис БТС». «Доставка через Яндекс» — видна, но неактивна (пока выключена). Способы, не связанные с выбранной оплатой, показываются неактивными</t>
        </is>
      </c>
      <c r="K101" s="31" t="inlineStr">
        <is>
          <t>PRD Client Confirmation Page §8; Проверено на staging 28.10.2026</t>
        </is>
      </c>
      <c r="L101" s="33" t="inlineStr">
        <is>
          <t>Да</t>
        </is>
      </c>
      <c r="M101" s="31" t="inlineStr">
        <is>
          <t>Выпадающий список доставки — требует отдельной разведки</t>
        </is>
      </c>
      <c r="N101" s="33" t="inlineStr">
        <is>
          <t>Не автоматизирован</t>
        </is>
      </c>
      <c r="O101" s="31" t="inlineStr"/>
      <c r="P101" s="33" t="inlineStr">
        <is>
          <t>Не выполнен</t>
        </is>
      </c>
      <c r="Q101" s="31" t="inlineStr"/>
    </row>
    <row r="102" ht="62" customHeight="1">
      <c r="A102" s="30" t="inlineStr">
        <is>
          <t>CHK-006</t>
        </is>
      </c>
      <c r="B102" s="31" t="inlineStr">
        <is>
          <t>Оформление заказа</t>
        </is>
      </c>
      <c r="C102" s="31" t="inlineStr">
        <is>
          <t>Доставка</t>
        </is>
      </c>
      <c r="D102" s="32" t="inlineStr">
        <is>
          <t>Самовывоз «В офис Ароса»</t>
        </is>
      </c>
      <c r="E102" s="33" t="inlineStr">
        <is>
          <t>P1</t>
        </is>
      </c>
      <c r="F102" s="33" t="inlineStr">
        <is>
          <t>Functional</t>
        </is>
      </c>
      <c r="G102" s="31" t="inlineStr">
        <is>
          <t>Пользователь авторизован как Мастер; в корзине 2+ товара в наличии</t>
        </is>
      </c>
      <c r="H102" s="31" t="inlineStr">
        <is>
          <t>1. Выбрать «В офис Ароса»</t>
        </is>
      </c>
      <c r="I102" s="31" t="inlineStr"/>
      <c r="J102" s="31" t="inlineStr">
        <is>
          <t>Показан ровно один пункт выдачи — магазин (склад) пользователя, предвыбран и не меняется; выбор региона и «Добавить адрес» скрыты; доставка 0 сум / «Бесплатно»</t>
        </is>
      </c>
      <c r="K102" s="31" t="inlineStr">
        <is>
          <t>PRD Client Confirmation Page CHK-006</t>
        </is>
      </c>
      <c r="L102" s="33" t="inlineStr">
        <is>
          <t>Да</t>
        </is>
      </c>
      <c r="M102" s="31" t="inlineStr">
        <is>
          <t>Следующий шаг — выбор доставки; запускать вместе с заказом</t>
        </is>
      </c>
      <c r="N102" s="33" t="inlineStr">
        <is>
          <t>Не автоматизирован</t>
        </is>
      </c>
      <c r="O102" s="31" t="inlineStr"/>
      <c r="P102" s="33" t="inlineStr">
        <is>
          <t>Не выполнен</t>
        </is>
      </c>
      <c r="Q102" s="31" t="inlineStr"/>
    </row>
    <row r="103" ht="62" customHeight="1">
      <c r="A103" s="30" t="inlineStr">
        <is>
          <t>CHK-007</t>
        </is>
      </c>
      <c r="B103" s="31" t="inlineStr">
        <is>
          <t>Оформление заказа</t>
        </is>
      </c>
      <c r="C103" s="31" t="inlineStr">
        <is>
          <t>Доставка</t>
        </is>
      </c>
      <c r="D103" s="32" t="inlineStr">
        <is>
          <t>Доставка «BTS до твоей двери»</t>
        </is>
      </c>
      <c r="E103" s="33" t="inlineStr">
        <is>
          <t>P1</t>
        </is>
      </c>
      <c r="F103" s="33" t="inlineStr">
        <is>
          <t>Functional</t>
        </is>
      </c>
      <c r="G103" s="31" t="inlineStr">
        <is>
          <t>Пользователь авторизован как Мастер; в корзине 2+ товара в наличии; у пользователя есть сохранённый адрес</t>
        </is>
      </c>
      <c r="H103" s="31" t="inlineStr">
        <is>
          <t>1. Выбрать «BTS до твоей двери»</t>
        </is>
      </c>
      <c r="I103" s="31" t="inlineStr"/>
      <c r="J103" s="31" t="inlineStr">
        <is>
          <t>Появились поля «Регион/город доставки», адрес пользователя и ссылка «Выбрать другой»; стоимость доставки «По клиенту»; в блоке товаров «Доставка через BTS»</t>
        </is>
      </c>
      <c r="K103" s="31" t="inlineStr"/>
      <c r="L103" s="33" t="inlineStr">
        <is>
          <t>Да</t>
        </is>
      </c>
      <c r="M103" s="31" t="inlineStr">
        <is>
          <t>Доставка BTS — требует адрес и создаёт заказ</t>
        </is>
      </c>
      <c r="N103" s="33" t="inlineStr">
        <is>
          <t>Не автоматизирован</t>
        </is>
      </c>
      <c r="O103" s="31" t="inlineStr"/>
      <c r="P103" s="33" t="inlineStr">
        <is>
          <t>Не выполнен</t>
        </is>
      </c>
      <c r="Q103" s="31" t="inlineStr"/>
    </row>
    <row r="104" ht="48" customHeight="1">
      <c r="A104" s="30" t="inlineStr">
        <is>
          <t>CHK-008</t>
        </is>
      </c>
      <c r="B104" s="31" t="inlineStr">
        <is>
          <t>Оформление заказа</t>
        </is>
      </c>
      <c r="C104" s="31" t="inlineStr">
        <is>
          <t>Доставка</t>
        </is>
      </c>
      <c r="D104" s="32" t="inlineStr">
        <is>
          <t>Доставка «в офис БТС»</t>
        </is>
      </c>
      <c r="E104" s="33" t="inlineStr">
        <is>
          <t>P2</t>
        </is>
      </c>
      <c r="F104" s="33" t="inlineStr">
        <is>
          <t>Functional</t>
        </is>
      </c>
      <c r="G104" s="31" t="inlineStr">
        <is>
          <t>Пользователь авторизован как Мастер; в корзине 2+ товара в наличии</t>
        </is>
      </c>
      <c r="H104" s="31" t="inlineStr">
        <is>
          <t>1. Выбрать «в офис БТС»
2. Выбрать регион и отделение BTS</t>
        </is>
      </c>
      <c r="I104" s="31" t="inlineStr"/>
      <c r="J104" s="31" t="inlineStr">
        <is>
          <t>Отделение выбрано и отображается в заказе</t>
        </is>
      </c>
      <c r="K104" s="31" t="inlineStr"/>
      <c r="L104" s="33" t="inlineStr">
        <is>
          <t>Да</t>
        </is>
      </c>
      <c r="M104" s="31" t="inlineStr">
        <is>
          <t>Доставка в офис BTS — требует справочники и создаёт заказ</t>
        </is>
      </c>
      <c r="N104" s="33" t="inlineStr">
        <is>
          <t>Не автоматизирован</t>
        </is>
      </c>
      <c r="O104" s="31" t="inlineStr"/>
      <c r="P104" s="33" t="inlineStr">
        <is>
          <t>Не выполнен</t>
        </is>
      </c>
      <c r="Q104" s="31" t="inlineStr"/>
    </row>
    <row r="105" ht="48" customHeight="1">
      <c r="A105" s="30" t="inlineStr">
        <is>
          <t>CHK-009</t>
        </is>
      </c>
      <c r="B105" s="31" t="inlineStr">
        <is>
          <t>Оформление заказа</t>
        </is>
      </c>
      <c r="C105" s="31" t="inlineStr">
        <is>
          <t>Доставка</t>
        </is>
      </c>
      <c r="D105" s="32" t="inlineStr">
        <is>
          <t>Доставка «До 1 км от офиса Aros»</t>
        </is>
      </c>
      <c r="E105" s="33" t="inlineStr">
        <is>
          <t>P2</t>
        </is>
      </c>
      <c r="F105" s="33" t="inlineStr">
        <is>
          <t>Functional</t>
        </is>
      </c>
      <c r="G105" s="31" t="inlineStr">
        <is>
          <t>Пользователь авторизован как Мастер; в корзине 2+ товара в наличии</t>
        </is>
      </c>
      <c r="H105" s="31" t="inlineStr">
        <is>
          <t>1. Выбрать «До 1 км от офиса Aros»
2. Выбрать сохранённый адрес</t>
        </is>
      </c>
      <c r="I105" s="31" t="inlineStr"/>
      <c r="J105" s="31" t="inlineStr">
        <is>
          <t>Доступны сохранённые адреса; стоимость доставки — сумма, включённая в «Итого» (оплачивается курьеру Aros)</t>
        </is>
      </c>
      <c r="K105" s="31" t="inlineStr">
        <is>
          <t>PRD Client Confirmation Page §8, §12</t>
        </is>
      </c>
      <c r="L105" s="33" t="inlineStr">
        <is>
          <t>Частично</t>
        </is>
      </c>
      <c r="M105" s="31" t="inlineStr">
        <is>
          <t>Доставка «До 1 км» — зависит от геолокации</t>
        </is>
      </c>
      <c r="N105" s="33" t="inlineStr">
        <is>
          <t>Не автоматизирован</t>
        </is>
      </c>
      <c r="O105" s="31" t="inlineStr"/>
      <c r="P105" s="33" t="inlineStr">
        <is>
          <t>Не выполнен</t>
        </is>
      </c>
      <c r="Q105" s="31" t="inlineStr"/>
    </row>
    <row r="106" ht="48" customHeight="1">
      <c r="A106" s="30" t="inlineStr">
        <is>
          <t>CHK-010</t>
        </is>
      </c>
      <c r="B106" s="31" t="inlineStr">
        <is>
          <t>Оформление заказа</t>
        </is>
      </c>
      <c r="C106" s="31" t="inlineStr">
        <is>
          <t>Адрес</t>
        </is>
      </c>
      <c r="D106" s="32" t="inlineStr">
        <is>
          <t>Смена и добавление адреса при оформлении</t>
        </is>
      </c>
      <c r="E106" s="33" t="inlineStr">
        <is>
          <t>P2</t>
        </is>
      </c>
      <c r="F106" s="33" t="inlineStr">
        <is>
          <t>Functional</t>
        </is>
      </c>
      <c r="G106" s="31" t="inlineStr">
        <is>
          <t>Пользователь авторизован как Мастер; в корзине 2+ товара в наличии</t>
        </is>
      </c>
      <c r="H106" s="31" t="inlineStr">
        <is>
          <t>1. Нажать «Выбрать другой» и выбрать другой адрес
2. Нажать «Добавить адрес», заполнить и сохранить</t>
        </is>
      </c>
      <c r="I106" s="31" t="inlineStr"/>
      <c r="J106" s="31" t="inlineStr">
        <is>
          <t>Выбранный адрес подставляется; новый адрес появляется в списке и в профиле</t>
        </is>
      </c>
      <c r="K106" s="31" t="inlineStr"/>
      <c r="L106" s="33" t="inlineStr">
        <is>
          <t>Да</t>
        </is>
      </c>
      <c r="M106" s="31" t="inlineStr">
        <is>
          <t>Меняет адреса пользователя</t>
        </is>
      </c>
      <c r="N106" s="33" t="inlineStr">
        <is>
          <t>Не автоматизирован</t>
        </is>
      </c>
      <c r="O106" s="31" t="inlineStr"/>
      <c r="P106" s="33" t="inlineStr">
        <is>
          <t>Не выполнен</t>
        </is>
      </c>
      <c r="Q106" s="31" t="inlineStr"/>
    </row>
    <row r="107" ht="62" customHeight="1">
      <c r="A107" s="30" t="inlineStr">
        <is>
          <t>CHK-011</t>
        </is>
      </c>
      <c r="B107" s="31" t="inlineStr">
        <is>
          <t>Оформление заказа</t>
        </is>
      </c>
      <c r="C107" s="31" t="inlineStr">
        <is>
          <t>Комментарий</t>
        </is>
      </c>
      <c r="D107" s="32" t="inlineStr">
        <is>
          <t>Комментарий к заказу: лимит 500 и отображение в заказе</t>
        </is>
      </c>
      <c r="E107" s="33" t="inlineStr">
        <is>
          <t>P3</t>
        </is>
      </c>
      <c r="F107" s="33" t="inlineStr">
        <is>
          <t>Functional</t>
        </is>
      </c>
      <c r="G107" s="31" t="inlineStr">
        <is>
          <t>Пользователь авторизован как Мастер; в корзине 2+ товара в наличии</t>
        </is>
      </c>
      <c r="H107" s="31" t="inlineStr">
        <is>
          <t>1. Ввести комментарий
2. Попробовать ввести 501-й символ
3. Оформить заказ
4. Открыть детали заказа</t>
        </is>
      </c>
      <c r="I107" s="31" t="inlineStr">
        <is>
          <t>Комментарий: «Позвонить за час»</t>
        </is>
      </c>
      <c r="J107" s="31" t="inlineStr">
        <is>
          <t>Счётчик N/500; 501-й символ не вводится; пустой комментарий не блокирует оформление; в деталях заказа комментарий виден только для чтения</t>
        </is>
      </c>
      <c r="K107" s="31" t="inlineStr">
        <is>
          <t>PRD Client Order Comment</t>
        </is>
      </c>
      <c r="L107" s="33" t="inlineStr">
        <is>
          <t>Да</t>
        </is>
      </c>
      <c r="M107" s="31" t="inlineStr"/>
      <c r="N107" s="33" t="inlineStr">
        <is>
          <t>Автоматизирован</t>
        </is>
      </c>
      <c r="O107" s="31" t="inlineStr">
        <is>
          <t>storefront/checkout/CheckoutViewTest#commentIsLimitedTo500Characters</t>
        </is>
      </c>
      <c r="P107" s="33" t="inlineStr">
        <is>
          <t>Не выполнен</t>
        </is>
      </c>
      <c r="Q107" s="31" t="inlineStr"/>
    </row>
    <row r="108" ht="48" customHeight="1">
      <c r="A108" s="30" t="inlineStr">
        <is>
          <t>CHK-012</t>
        </is>
      </c>
      <c r="B108" s="31" t="inlineStr">
        <is>
          <t>Оформление заказа</t>
        </is>
      </c>
      <c r="C108" s="31" t="inlineStr">
        <is>
          <t>Расчёт</t>
        </is>
      </c>
      <c r="D108" s="32" t="inlineStr">
        <is>
          <t>Итоги оформления совпадают с корзиной</t>
        </is>
      </c>
      <c r="E108" s="33" t="inlineStr">
        <is>
          <t>P1</t>
        </is>
      </c>
      <c r="F108" s="33" t="inlineStr">
        <is>
          <t>Functional</t>
        </is>
      </c>
      <c r="G108" s="31" t="inlineStr">
        <is>
          <t>Пользователь авторизован как Мастер; в корзине 2+ товара в наличии</t>
        </is>
      </c>
      <c r="H108" s="31" t="inlineStr">
        <is>
          <t>1. Запомнить итоги в корзине
2. Открыть оформление</t>
        </is>
      </c>
      <c r="I108" s="31" t="inlineStr"/>
      <c r="J108" s="31" t="inlineStr">
        <is>
          <t>Цена продукции, скидка и «Итого» совпадают; стоимость доставки соответствует способу</t>
        </is>
      </c>
      <c r="K108" s="31" t="inlineStr"/>
      <c r="L108" s="33" t="inlineStr">
        <is>
          <t>Да</t>
        </is>
      </c>
      <c r="M108" s="31" t="inlineStr">
        <is>
          <t>Проверен сценарий «наличные + самовывоз» по умолчанию</t>
        </is>
      </c>
      <c r="N108" s="33" t="inlineStr">
        <is>
          <t>Частично автоматизирован</t>
        </is>
      </c>
      <c r="O108" s="31" t="inlineStr">
        <is>
          <t>storefront/checkout/CheckoutViewTest#checkoutTotalsMatchCart</t>
        </is>
      </c>
      <c r="P108" s="33" t="inlineStr">
        <is>
          <t>Не выполнен</t>
        </is>
      </c>
      <c r="Q108" s="31" t="inlineStr"/>
    </row>
    <row r="109" ht="48" customHeight="1">
      <c r="A109" s="30" t="inlineStr">
        <is>
          <t>CHK-013</t>
        </is>
      </c>
      <c r="B109" s="31" t="inlineStr">
        <is>
          <t>Оформление заказа</t>
        </is>
      </c>
      <c r="C109" s="31" t="inlineStr">
        <is>
          <t>Оферта</t>
        </is>
      </c>
      <c r="D109" s="32" t="inlineStr">
        <is>
          <t>Ссылка на публичную оферту</t>
        </is>
      </c>
      <c r="E109" s="33" t="inlineStr">
        <is>
          <t>P3</t>
        </is>
      </c>
      <c r="F109" s="33" t="inlineStr">
        <is>
          <t>UI</t>
        </is>
      </c>
      <c r="G109" s="31" t="inlineStr">
        <is>
          <t>Пользователь авторизован как Мастер; в корзине 2+ товара в наличии</t>
        </is>
      </c>
      <c r="H109" s="31" t="inlineStr">
        <is>
          <t>1. Нажать «условиями публичной оферты»</t>
        </is>
      </c>
      <c r="I109" s="31" t="inlineStr"/>
      <c r="J109" s="31" t="inlineStr">
        <is>
          <t>Открыт текст публичной оферты</t>
        </is>
      </c>
      <c r="K109" s="31" t="inlineStr"/>
      <c r="L109" s="33" t="inlineStr">
        <is>
          <t>Да</t>
        </is>
      </c>
      <c r="M109" s="31" t="inlineStr"/>
      <c r="N109" s="33" t="inlineStr">
        <is>
          <t>Автоматизирован</t>
        </is>
      </c>
      <c r="O109" s="31" t="inlineStr">
        <is>
          <t>storefront/checkout/CheckoutViewTest#publicOfferLinkWorks</t>
        </is>
      </c>
      <c r="P109" s="33" t="inlineStr">
        <is>
          <t>Не выполнен</t>
        </is>
      </c>
      <c r="Q109" s="31" t="inlineStr"/>
    </row>
    <row r="110" ht="90" customHeight="1">
      <c r="A110" s="30" t="inlineStr">
        <is>
          <t>CHK-014</t>
        </is>
      </c>
      <c r="B110" s="31" t="inlineStr">
        <is>
          <t>Оформление заказа</t>
        </is>
      </c>
      <c r="C110" s="31" t="inlineStr">
        <is>
          <t>Создание заказа</t>
        </is>
      </c>
      <c r="D110" s="32" t="inlineStr">
        <is>
          <t>Оформление заказа: наличные + самовывоз из офиса</t>
        </is>
      </c>
      <c r="E110" s="33" t="inlineStr">
        <is>
          <t>P1</t>
        </is>
      </c>
      <c r="F110" s="33" t="inlineStr">
        <is>
          <t>Smoke</t>
        </is>
      </c>
      <c r="G110" s="31" t="inlineStr">
        <is>
          <t>Пользователь авторизован как Мастер; в корзине 2+ товара в наличии</t>
        </is>
      </c>
      <c r="H110" s="31" t="inlineStr">
        <is>
          <t>1. Выбрать «Наличные» и «В офис Ароса»
2. Нажать «Оформить заказ»
3. Нажать «Посмотреть заказы»</t>
        </is>
      </c>
      <c r="I110" s="31" t="inlineStr"/>
      <c r="J110" s="31" t="inlineStr">
        <is>
          <t>Окно «Ваш заказ успешно оформлен!» с кнопками «Посмотреть заказы» / «Продолжить покупки», тост «Выполнено успешно!»; оформленные товары ушли из корзины (бейдж 0); заказ первым в «Мои заказы», оплата «Не оплачено», доставка — адрес офиса; уведомление «Ваш заказ принят»</t>
        </is>
      </c>
      <c r="K110" s="31" t="inlineStr">
        <is>
          <t>Проверено на staging 28.10.2026 (заказ #518190)</t>
        </is>
      </c>
      <c r="L110" s="33" t="inlineStr">
        <is>
          <t>Да</t>
        </is>
      </c>
      <c r="M110" s="31" t="inlineStr">
        <is>
          <t>СОЗДАЁТ РЕАЛЬНЫЙ ЗАКАЗ — запускать вручную (тег creates-order)</t>
        </is>
      </c>
      <c r="N110" s="33" t="inlineStr">
        <is>
          <t>Не автоматизирован</t>
        </is>
      </c>
      <c r="O110" s="31" t="inlineStr"/>
      <c r="P110" s="33" t="inlineStr">
        <is>
          <t>Не выполнен</t>
        </is>
      </c>
      <c r="Q110" s="31" t="inlineStr"/>
    </row>
    <row r="111" ht="48" customHeight="1">
      <c r="A111" s="30" t="inlineStr">
        <is>
          <t>CHK-015</t>
        </is>
      </c>
      <c r="B111" s="31" t="inlineStr">
        <is>
          <t>Оформление заказа</t>
        </is>
      </c>
      <c r="C111" s="31" t="inlineStr">
        <is>
          <t>Создание заказа</t>
        </is>
      </c>
      <c r="D111" s="32" t="inlineStr">
        <is>
          <t>Оформление заказа с доставкой BTS до двери</t>
        </is>
      </c>
      <c r="E111" s="33" t="inlineStr">
        <is>
          <t>P1</t>
        </is>
      </c>
      <c r="F111" s="33" t="inlineStr">
        <is>
          <t>Functional</t>
        </is>
      </c>
      <c r="G111" s="31" t="inlineStr">
        <is>
          <t>Пользователь авторизован как Мастер; в корзине 2+ товара в наличии</t>
        </is>
      </c>
      <c r="H111" s="31" t="inlineStr">
        <is>
          <t>1. Выбрать «BTS до твоей двери», регион и адрес
2. Оформить заказ</t>
        </is>
      </c>
      <c r="I111" s="31" t="inlineStr"/>
      <c r="J111" s="31" t="inlineStr">
        <is>
          <t>Заказ создан; в деталях способ доставки BTS и выбранный адрес</t>
        </is>
      </c>
      <c r="K111" s="31" t="inlineStr"/>
      <c r="L111" s="33" t="inlineStr">
        <is>
          <t>Да</t>
        </is>
      </c>
      <c r="M111" s="31" t="inlineStr">
        <is>
          <t>СОЗДАЁТ РЕАЛЬНЫЙ ЗАКАЗ — запускать вручную</t>
        </is>
      </c>
      <c r="N111" s="33" t="inlineStr">
        <is>
          <t>Не автоматизирован</t>
        </is>
      </c>
      <c r="O111" s="31" t="inlineStr"/>
      <c r="P111" s="33" t="inlineStr">
        <is>
          <t>Не выполнен</t>
        </is>
      </c>
      <c r="Q111" s="31" t="inlineStr"/>
    </row>
    <row r="112" ht="48" customHeight="1">
      <c r="A112" s="30" t="inlineStr">
        <is>
          <t>CHK-016</t>
        </is>
      </c>
      <c r="B112" s="31" t="inlineStr">
        <is>
          <t>Оформление заказа</t>
        </is>
      </c>
      <c r="C112" s="31" t="inlineStr">
        <is>
          <t>Валидация</t>
        </is>
      </c>
      <c r="D112" s="32" t="inlineStr">
        <is>
          <t>Оформление без обязательных полей</t>
        </is>
      </c>
      <c r="E112" s="33" t="inlineStr">
        <is>
          <t>P2</t>
        </is>
      </c>
      <c r="F112" s="33" t="inlineStr">
        <is>
          <t>Negative</t>
        </is>
      </c>
      <c r="G112" s="31" t="inlineStr">
        <is>
          <t>Пользователь авторизован как Мастер; в корзине 2+ товара в наличии</t>
        </is>
      </c>
      <c r="H112" s="31" t="inlineStr">
        <is>
          <t>1. Выбрать доставку до двери без адреса
2. Нажать «Оформить заказ»</t>
        </is>
      </c>
      <c r="I112" s="31" t="inlineStr"/>
      <c r="J112" s="31" t="inlineStr">
        <is>
          <t>Ошибка валидации у обязательного поля; заказ не создан</t>
        </is>
      </c>
      <c r="K112" s="31" t="inlineStr"/>
      <c r="L112" s="33" t="inlineStr">
        <is>
          <t>Да</t>
        </is>
      </c>
      <c r="M112" s="31" t="inlineStr">
        <is>
          <t>Для проверки обязательных полей нужно нажимать «Оформить заказ»</t>
        </is>
      </c>
      <c r="N112" s="33" t="inlineStr">
        <is>
          <t>Не автоматизирован</t>
        </is>
      </c>
      <c r="O112" s="31" t="inlineStr"/>
      <c r="P112" s="33" t="inlineStr">
        <is>
          <t>Не выполнен</t>
        </is>
      </c>
      <c r="Q112" s="31" t="inlineStr"/>
    </row>
    <row r="113" ht="48" customHeight="1">
      <c r="A113" s="30" t="inlineStr">
        <is>
          <t>CHK-017</t>
        </is>
      </c>
      <c r="B113" s="31" t="inlineStr">
        <is>
          <t>Оформление заказа</t>
        </is>
      </c>
      <c r="C113" s="31" t="inlineStr">
        <is>
          <t>Создание заказа</t>
        </is>
      </c>
      <c r="D113" s="32" t="inlineStr">
        <is>
          <t>Двойной клик по «Оформить заказ» не создаёт дубль</t>
        </is>
      </c>
      <c r="E113" s="33" t="inlineStr">
        <is>
          <t>P2</t>
        </is>
      </c>
      <c r="F113" s="33" t="inlineStr">
        <is>
          <t>Negative</t>
        </is>
      </c>
      <c r="G113" s="31" t="inlineStr">
        <is>
          <t>Пользователь авторизован как Мастер; в корзине 2+ товара в наличии</t>
        </is>
      </c>
      <c r="H113" s="31" t="inlineStr">
        <is>
          <t>1. Быстро дважды нажать «Оформить заказ»</t>
        </is>
      </c>
      <c r="I113" s="31" t="inlineStr"/>
      <c r="J113" s="31" t="inlineStr">
        <is>
          <t>Создан ровно один заказ</t>
        </is>
      </c>
      <c r="K113" s="31" t="inlineStr"/>
      <c r="L113" s="33" t="inlineStr">
        <is>
          <t>Да</t>
        </is>
      </c>
      <c r="M113" s="31" t="inlineStr">
        <is>
          <t>Двойной клик по «Оформить заказ» — создаёт заказ(ы)</t>
        </is>
      </c>
      <c r="N113" s="33" t="inlineStr">
        <is>
          <t>Не автоматизирован</t>
        </is>
      </c>
      <c r="O113" s="31" t="inlineStr"/>
      <c r="P113" s="33" t="inlineStr">
        <is>
          <t>Не выполнен</t>
        </is>
      </c>
      <c r="Q113" s="31" t="inlineStr"/>
    </row>
    <row r="114" ht="76" customHeight="1">
      <c r="A114" s="30" t="inlineStr">
        <is>
          <t>CHK-018</t>
        </is>
      </c>
      <c r="B114" s="31" t="inlineStr">
        <is>
          <t>Оформление заказа</t>
        </is>
      </c>
      <c r="C114" s="31" t="inlineStr">
        <is>
          <t>Группировка</t>
        </is>
      </c>
      <c r="D114" s="32" t="inlineStr">
        <is>
          <t>Товары с разных складов → несколько заказов</t>
        </is>
      </c>
      <c r="E114" s="33" t="inlineStr">
        <is>
          <t>P2</t>
        </is>
      </c>
      <c r="F114" s="33" t="inlineStr">
        <is>
          <t>Functional</t>
        </is>
      </c>
      <c r="G114" s="31" t="inlineStr">
        <is>
          <t>Пользователь авторизован как Мастер; в корзине товары с разных складов</t>
        </is>
      </c>
      <c r="H114" s="31" t="inlineStr">
        <is>
          <t>1. Открыть оформление
2. Проверить блок «Продукты»
3. Оформить заказ</t>
        </is>
      </c>
      <c r="I114" s="31" t="inlineStr"/>
      <c r="J114" s="31" t="inlineStr">
        <is>
          <t>Товары сгруппированы по складу-поставщику (название, срок, кол-во); если товар с чужого склада — показано пояснение об ожидании перемещения; создаётся по одному заказу на склад, все с получением в магазине пользователя</t>
        </is>
      </c>
      <c r="K114" s="31" t="inlineStr">
        <is>
          <t>PRD Client Confirmation Page CHK-005, CHK-008</t>
        </is>
      </c>
      <c r="L114" s="33" t="inlineStr">
        <is>
          <t>Частично</t>
        </is>
      </c>
      <c r="M114" s="31" t="inlineStr">
        <is>
          <t>Нужны товары с разных складов и создаёт заказы</t>
        </is>
      </c>
      <c r="N114" s="33" t="inlineStr">
        <is>
          <t>Не автоматизирован</t>
        </is>
      </c>
      <c r="O114" s="31" t="inlineStr"/>
      <c r="P114" s="33" t="inlineStr">
        <is>
          <t>Не выполнен</t>
        </is>
      </c>
      <c r="Q114" s="31" t="inlineStr"/>
    </row>
    <row r="115" ht="62" customHeight="1">
      <c r="A115" s="30" t="inlineStr">
        <is>
          <t>CHK-019</t>
        </is>
      </c>
      <c r="B115" s="31" t="inlineStr">
        <is>
          <t>Оформление заказа</t>
        </is>
      </c>
      <c r="C115" s="31" t="inlineStr">
        <is>
          <t>Быстрая покупка</t>
        </is>
      </c>
      <c r="D115" s="32" t="inlineStr">
        <is>
          <t>Быстрая покупка не затрагивает корзину</t>
        </is>
      </c>
      <c r="E115" s="33" t="inlineStr">
        <is>
          <t>P2</t>
        </is>
      </c>
      <c r="F115" s="33" t="inlineStr">
        <is>
          <t>Functional</t>
        </is>
      </c>
      <c r="G115" s="31" t="inlineStr">
        <is>
          <t>Пользователь авторизован как Мастер; в корзине 2+ товара в наличии</t>
        </is>
      </c>
      <c r="H115" s="31" t="inlineStr">
        <is>
          <t>1. На странице другого товара нажать «Быстрая покупка»
2. Оформить заказ
3. Открыть корзину</t>
        </is>
      </c>
      <c r="I115" s="31" t="inlineStr"/>
      <c r="J115" s="31" t="inlineStr">
        <is>
          <t>В заказе только товар быстрой покупки; прежнее содержимое корзины не изменилось</t>
        </is>
      </c>
      <c r="K115" s="31" t="inlineStr"/>
      <c r="L115" s="33" t="inlineStr">
        <is>
          <t>Да</t>
        </is>
      </c>
      <c r="M115" s="31" t="inlineStr">
        <is>
          <t>Быстрая покупка создаёт заказ</t>
        </is>
      </c>
      <c r="N115" s="33" t="inlineStr">
        <is>
          <t>Не автоматизирован</t>
        </is>
      </c>
      <c r="O115" s="31" t="inlineStr"/>
      <c r="P115" s="33" t="inlineStr">
        <is>
          <t>Не выполнен</t>
        </is>
      </c>
      <c r="Q115" s="31" t="inlineStr"/>
    </row>
    <row r="116" ht="76" customHeight="1">
      <c r="A116" s="30" t="inlineStr">
        <is>
          <t>CHK-020</t>
        </is>
      </c>
      <c r="B116" s="31" t="inlineStr">
        <is>
          <t>Оформление заказа</t>
        </is>
      </c>
      <c r="C116" s="31" t="inlineStr">
        <is>
          <t>Hamyon (долг)</t>
        </is>
      </c>
      <c r="D116" s="32" t="inlineStr">
        <is>
          <t>Hamyon скрыт/недоступен при закрытом кошельке</t>
        </is>
      </c>
      <c r="E116" s="33" t="inlineStr">
        <is>
          <t>P1</t>
        </is>
      </c>
      <c r="F116" s="33" t="inlineStr">
        <is>
          <t>Negative</t>
        </is>
      </c>
      <c r="G116" s="31" t="inlineStr">
        <is>
          <t>Пользователь авторизован как Мастер; в корзине 2+ товара в наличии; по очереди: Limit Summa = 0 / Limit Kun = 0 / Debt Status = Blocked</t>
        </is>
      </c>
      <c r="H116" s="31" t="inlineStr">
        <is>
          <t>1. Админ выставляет условие
2. Мастер открывает оформление</t>
        </is>
      </c>
      <c r="I116" s="31" t="inlineStr">
        <is>
          <t>Тестовый мастер сейчас: лимит 0 → Hamyon не показан</t>
        </is>
      </c>
      <c r="J116" s="31" t="inlineStr">
        <is>
          <t>При любом из условий способ Hamyon недоступен; Наличные и Балл работают как обычно</t>
        </is>
      </c>
      <c r="K116" s="31" t="inlineStr">
        <is>
          <t>PRD Debt Limit (B2B/B2M) §5</t>
        </is>
      </c>
      <c r="L116" s="33" t="inlineStr">
        <is>
          <t>Частично</t>
        </is>
      </c>
      <c r="M116" s="31" t="inlineStr">
        <is>
          <t>Нужно закрыть кошелёк через админку</t>
        </is>
      </c>
      <c r="N116" s="33" t="inlineStr">
        <is>
          <t>Не автоматизирован</t>
        </is>
      </c>
      <c r="O116" s="31" t="inlineStr"/>
      <c r="P116" s="33" t="inlineStr">
        <is>
          <t>Не выполнен</t>
        </is>
      </c>
      <c r="Q116" s="31" t="inlineStr"/>
    </row>
    <row r="117" ht="90" customHeight="1">
      <c r="A117" s="30" t="inlineStr">
        <is>
          <t>CHK-021</t>
        </is>
      </c>
      <c r="B117" s="31" t="inlineStr">
        <is>
          <t>Оформление заказа</t>
        </is>
      </c>
      <c r="C117" s="31" t="inlineStr">
        <is>
          <t>Hamyon (долг)</t>
        </is>
      </c>
      <c r="D117" s="32" t="inlineStr">
        <is>
          <t>Оформление заказа в долг (Hamyon)</t>
        </is>
      </c>
      <c r="E117" s="33" t="inlineStr">
        <is>
          <t>P1</t>
        </is>
      </c>
      <c r="F117" s="33" t="inlineStr">
        <is>
          <t>Smoke</t>
        </is>
      </c>
      <c r="G117" s="31" t="inlineStr">
        <is>
          <t>Пользователь авторизован как Мастер; администратор открыл мастеру кошелёк: Debt Status = Open, Limit Summa &gt; 0, Limit Kun &gt; 0; в корзине товары на сумму &lt; лимита</t>
        </is>
      </c>
      <c r="H117" s="31" t="inlineStr">
        <is>
          <t>1. Выбрать Hamyon
2. Выбрать срок N дней (1…Limit Kun)
3. Оформить заказ</t>
        </is>
      </c>
      <c r="I117" s="31" t="inlineStr">
        <is>
          <t>Limit Kun = 5, N = 3</t>
        </is>
      </c>
      <c r="J117" s="31" t="inlineStr">
        <is>
          <t>Рядом со сроком — «N дней · если выдать сегодня ≈ ДД.ММ.ГГГГ» (сегодня + N); заказ создан, в деталях: оплата Hamyon, срок оплаты «N дней · ≈ дата», статус оплаты «Не оплачено»; заказ появился в «Мой кошелёк»</t>
        </is>
      </c>
      <c r="K117" s="31" t="inlineStr">
        <is>
          <t>PRD Debt Limit (B2B/B2M) §4.3</t>
        </is>
      </c>
      <c r="L117" s="33" t="inlineStr">
        <is>
          <t>Да</t>
        </is>
      </c>
      <c r="M117" s="31" t="inlineStr">
        <is>
          <t>СОЗДАЁТ ЗАКАЗ В ДОЛГ — только вручную</t>
        </is>
      </c>
      <c r="N117" s="33" t="inlineStr">
        <is>
          <t>Не автоматизирован</t>
        </is>
      </c>
      <c r="O117" s="31" t="inlineStr"/>
      <c r="P117" s="33" t="inlineStr">
        <is>
          <t>Не выполнен</t>
        </is>
      </c>
      <c r="Q117" s="31" t="inlineStr"/>
    </row>
    <row r="118" ht="76" customHeight="1">
      <c r="A118" s="30" t="inlineStr">
        <is>
          <t>CHK-022</t>
        </is>
      </c>
      <c r="B118" s="31" t="inlineStr">
        <is>
          <t>Оформление заказа</t>
        </is>
      </c>
      <c r="C118" s="31" t="inlineStr">
        <is>
          <t>Hamyon (долг)</t>
        </is>
      </c>
      <c r="D118" s="32" t="inlineStr">
        <is>
          <t>Срок долга ограничен Limit Kun (макс. 15 для мастера)</t>
        </is>
      </c>
      <c r="E118" s="33" t="inlineStr">
        <is>
          <t>P2</t>
        </is>
      </c>
      <c r="F118" s="33" t="inlineStr">
        <is>
          <t>Negative</t>
        </is>
      </c>
      <c r="G118" s="31" t="inlineStr">
        <is>
          <t>Пользователь авторизован как Мастер; администратор открыл мастеру кошелёк: Debt Status = Open, Limit Summa &gt; 0, Limit Kun &gt; 0; Limit Kun = 3</t>
        </is>
      </c>
      <c r="H118" s="31" t="inlineStr">
        <is>
          <t>1. Выбрать Hamyon
2. Попробовать выбрать срок 4+ дней</t>
        </is>
      </c>
      <c r="I118" s="31" t="inlineStr"/>
      <c r="J118" s="31" t="inlineStr">
        <is>
          <t>Выбрать больше Limit Kun нельзя; для мастера верхняя граница настройки — 15 дней; срок не выбран → по умолчанию +1 день</t>
        </is>
      </c>
      <c r="K118" s="31" t="inlineStr">
        <is>
          <t>PRD Debt Limit (B2B/B2M) §4.1–4.3; PRD Mijoz rollari (narx turi) MR-T1</t>
        </is>
      </c>
      <c r="L118" s="33" t="inlineStr">
        <is>
          <t>Да</t>
        </is>
      </c>
      <c r="M118" s="31" t="inlineStr">
        <is>
          <t>Нужен заказ в долг — только вручную</t>
        </is>
      </c>
      <c r="N118" s="33" t="inlineStr">
        <is>
          <t>Не автоматизирован</t>
        </is>
      </c>
      <c r="O118" s="31" t="inlineStr"/>
      <c r="P118" s="33" t="inlineStr">
        <is>
          <t>Не выполнен</t>
        </is>
      </c>
      <c r="Q118" s="31" t="inlineStr"/>
    </row>
    <row r="119" ht="104" customHeight="1">
      <c r="A119" s="30" t="inlineStr">
        <is>
          <t>CHK-023</t>
        </is>
      </c>
      <c r="B119" s="31" t="inlineStr">
        <is>
          <t>Оформление заказа</t>
        </is>
      </c>
      <c r="C119" s="31" t="inlineStr">
        <is>
          <t>Hamyon (долг)</t>
        </is>
      </c>
      <c r="D119" s="32" t="inlineStr">
        <is>
          <t>Превышение лимита долга</t>
        </is>
      </c>
      <c r="E119" s="33" t="inlineStr">
        <is>
          <t>P1</t>
        </is>
      </c>
      <c r="F119" s="33" t="inlineStr">
        <is>
          <t>Negative</t>
        </is>
      </c>
      <c r="G119" s="31" t="inlineStr">
        <is>
          <t>Пользователь авторизован как Мастер; администратор открыл мастеру кошелёк: Debt Status = Open, Limit Summa &gt; 0, Limit Kun &gt; 0; Limit Summa = 100 000, уже есть неоплаченный долг 80 000</t>
        </is>
      </c>
      <c r="H119" s="31" t="inlineStr">
        <is>
          <t>1. Оформить в Hamyon заказ на 30 000</t>
        </is>
      </c>
      <c r="I119" s="31" t="inlineStr"/>
      <c r="J119" s="31" t="inlineStr">
        <is>
          <t>Заказ не создан, ошибка «Siz limitdan oshiqcha qarzga mahsulot ola olmaysiz! Sizning mavjud limitingiz: 20 000 so'm» (на языке интерфейса). Активный долг = Не оплачено + Продлено + Просрочено</t>
        </is>
      </c>
      <c r="K119" s="31" t="inlineStr">
        <is>
          <t>PRD Debt Limit (B2B/B2M) §3.2</t>
        </is>
      </c>
      <c r="L119" s="33" t="inlineStr">
        <is>
          <t>Частично</t>
        </is>
      </c>
      <c r="M119" s="31" t="inlineStr">
        <is>
          <t>Нужно менять лимит долга в админке</t>
        </is>
      </c>
      <c r="N119" s="33" t="inlineStr">
        <is>
          <t>Не автоматизирован</t>
        </is>
      </c>
      <c r="O119" s="31" t="inlineStr"/>
      <c r="P119" s="33" t="inlineStr">
        <is>
          <t>Не выполнен</t>
        </is>
      </c>
      <c r="Q119" s="31" t="inlineStr"/>
    </row>
    <row r="120" ht="62" customHeight="1">
      <c r="A120" s="30" t="inlineStr">
        <is>
          <t>CHK-024</t>
        </is>
      </c>
      <c r="B120" s="31" t="inlineStr">
        <is>
          <t>Оформление заказа</t>
        </is>
      </c>
      <c r="C120" s="31" t="inlineStr">
        <is>
          <t>Hamyon (долг)</t>
        </is>
      </c>
      <c r="D120" s="32" t="inlineStr">
        <is>
          <t>Балл недоступен при просроченном долге</t>
        </is>
      </c>
      <c r="E120" s="33" t="inlineStr">
        <is>
          <t>P2</t>
        </is>
      </c>
      <c r="F120" s="33" t="inlineStr">
        <is>
          <t>Negative</t>
        </is>
      </c>
      <c r="G120" s="31" t="inlineStr">
        <is>
          <t>Пользователь авторизован как Мастер; есть просроченный долг (статус «Просрочен»)</t>
        </is>
      </c>
      <c r="H120" s="31" t="inlineStr">
        <is>
          <t>1. Открыть оформление
2. Посмотреть плитку «Балл»</t>
        </is>
      </c>
      <c r="I120" s="31" t="inlineStr"/>
      <c r="J120" s="31" t="inlineStr">
        <is>
          <t>Плитка «Балл» видна, но неактивна, с текстом: есть просроченный долг, сначала погасите его. Сервер тоже отклоняет такой заказ (400). Продлённый долг ограничение не включает</t>
        </is>
      </c>
      <c r="K120" s="31" t="inlineStr">
        <is>
          <t>PRD Ball cheklovi (DRAFT)</t>
        </is>
      </c>
      <c r="L120" s="33" t="inlineStr">
        <is>
          <t>Частично</t>
        </is>
      </c>
      <c r="M120" s="31" t="inlineStr">
        <is>
          <t>Нужен просроченный долг — данные</t>
        </is>
      </c>
      <c r="N120" s="33" t="inlineStr">
        <is>
          <t>Не автоматизирован</t>
        </is>
      </c>
      <c r="O120" s="31" t="inlineStr"/>
      <c r="P120" s="33" t="inlineStr">
        <is>
          <t>Не выполнен</t>
        </is>
      </c>
      <c r="Q120" s="31" t="inlineStr"/>
    </row>
    <row r="121" ht="76" customHeight="1">
      <c r="A121" s="30" t="inlineStr">
        <is>
          <t>CHK-025</t>
        </is>
      </c>
      <c r="B121" s="31" t="inlineStr">
        <is>
          <t>Оформление заказа</t>
        </is>
      </c>
      <c r="C121" s="31" t="inlineStr">
        <is>
          <t>Доставка</t>
        </is>
      </c>
      <c r="D121" s="32" t="inlineStr">
        <is>
          <t>Стоимость доставки по способам</t>
        </is>
      </c>
      <c r="E121" s="33" t="inlineStr">
        <is>
          <t>P2</t>
        </is>
      </c>
      <c r="F121" s="33" t="inlineStr">
        <is>
          <t>Functional</t>
        </is>
      </c>
      <c r="G121" s="31" t="inlineStr">
        <is>
          <t>Пользователь авторизован как Мастер; в корзине 2+ товара в наличии</t>
        </is>
      </c>
      <c r="H121" s="31" t="inlineStr">
        <is>
          <t>1. По очереди выбрать все способы доставки
2. Смотреть строку «Стоимость доставки» и «Итого»</t>
        </is>
      </c>
      <c r="I121" s="31" t="inlineStr"/>
      <c r="J121" s="31" t="inlineStr">
        <is>
          <t>В офис Ароса — 0/«Бесплатно»; До 1 км — сумма, входит в итог; BTS (оба) — «Оплачивается клиентом» без суммы; Яндекс — «Оплачивается курьеру» с подсказкой. Голый «0 сум» для платных внешних способов не показывается</t>
        </is>
      </c>
      <c r="K121" s="31" t="inlineStr">
        <is>
          <t>PRD Client Confirmation Page §12, CHK-007</t>
        </is>
      </c>
      <c r="L121" s="33" t="inlineStr">
        <is>
          <t>Да</t>
        </is>
      </c>
      <c r="M121" s="31" t="inlineStr">
        <is>
          <t>Зависит от адреса и тарифа доставки</t>
        </is>
      </c>
      <c r="N121" s="33" t="inlineStr">
        <is>
          <t>Не автоматизирован</t>
        </is>
      </c>
      <c r="O121" s="31" t="inlineStr"/>
      <c r="P121" s="33" t="inlineStr">
        <is>
          <t>Не выполнен</t>
        </is>
      </c>
      <c r="Q121" s="31" t="inlineStr"/>
    </row>
    <row r="122" ht="62" customHeight="1">
      <c r="A122" s="30" t="inlineStr">
        <is>
          <t>CHK-026</t>
        </is>
      </c>
      <c r="B122" s="31" t="inlineStr">
        <is>
          <t>Оформление заказа</t>
        </is>
      </c>
      <c r="C122" s="31" t="inlineStr">
        <is>
          <t>Яндекс</t>
        </is>
      </c>
      <c r="D122" s="32" t="inlineStr">
        <is>
          <t>Доставка Яндекс: точка на карте и телефон получателя</t>
        </is>
      </c>
      <c r="E122" s="33" t="inlineStr">
        <is>
          <t>P3</t>
        </is>
      </c>
      <c r="F122" s="33" t="inlineStr">
        <is>
          <t>Functional</t>
        </is>
      </c>
      <c r="G122" s="31" t="inlineStr">
        <is>
          <t>Пользователь авторизован как Мастер; в корзине 2+ товара в наличии; Яндекс включён администратором</t>
        </is>
      </c>
      <c r="H122" s="31" t="inlineStr">
        <is>
          <t>1. Выбрать «Доставка через Яндекс»
2. Добавить адрес на карте
3. Изменить телефон получателя
4. Оформить заказ</t>
        </is>
      </c>
      <c r="I122" s="31" t="inlineStr"/>
      <c r="J122" s="31" t="inlineStr">
        <is>
          <t>Доступны только адреса с координатами; телефон обязателен, по умолчанию телефон аккаунта; пустой/неверный телефон блокирует оформление; Яндекс доступен только в регионе своего магазина</t>
        </is>
      </c>
      <c r="K122" s="31" t="inlineStr">
        <is>
          <t>PRD Client Confirmation Page §9, CHK-002–004</t>
        </is>
      </c>
      <c r="L122" s="33" t="inlineStr">
        <is>
          <t>Частично</t>
        </is>
      </c>
      <c r="M122" s="31" t="inlineStr">
        <is>
          <t>Карта Яндекс — нестабильна для автотестов</t>
        </is>
      </c>
      <c r="N122" s="33" t="inlineStr">
        <is>
          <t>Не автоматизирован</t>
        </is>
      </c>
      <c r="O122" s="31" t="inlineStr"/>
      <c r="P122" s="33" t="inlineStr">
        <is>
          <t>Не выполнен</t>
        </is>
      </c>
      <c r="Q122" s="31" t="inlineStr"/>
    </row>
    <row r="123" ht="76" customHeight="1">
      <c r="A123" s="26" t="inlineStr">
        <is>
          <t>ORD-001</t>
        </is>
      </c>
      <c r="B123" s="27" t="inlineStr">
        <is>
          <t>Мои заказы</t>
        </is>
      </c>
      <c r="C123" s="27" t="inlineStr">
        <is>
          <t>Список</t>
        </is>
      </c>
      <c r="D123" s="28" t="inlineStr">
        <is>
          <t>Вкладки «Активные» / «Все» и статусы заказов</t>
        </is>
      </c>
      <c r="E123" s="29" t="inlineStr">
        <is>
          <t>P1</t>
        </is>
      </c>
      <c r="F123" s="29" t="inlineStr">
        <is>
          <t>Smoke</t>
        </is>
      </c>
      <c r="G123" s="27" t="inlineStr">
        <is>
          <t>Пользователь авторизован как Мастер; есть активные и закрытые заказы</t>
        </is>
      </c>
      <c r="H123" s="27" t="inlineStr">
        <is>
          <t>1. Открыть «Мои заказы»
2. Переключить вкладки</t>
        </is>
      </c>
      <c r="I123" s="27" t="inlineStr"/>
      <c r="J123" s="27" t="inlineStr">
        <is>
          <t>«Активные» (по умолчанию): Собирается, Собран/Готов, Доставляется, Доставлен в BTS; «Все»: все заказы и возвраты по убыванию даты. «Доставлен» и «Отменён» — только во «Все». Цвета: жёлтый — в работе, зелёный — доставлен, красный — отменён</t>
        </is>
      </c>
      <c r="K123" s="27" t="inlineStr">
        <is>
          <t>PRD My Orders §4.2, §5</t>
        </is>
      </c>
      <c r="L123" s="29" t="inlineStr">
        <is>
          <t>Да</t>
        </is>
      </c>
      <c r="M123" s="27" t="inlineStr"/>
      <c r="N123" s="29" t="inlineStr">
        <is>
          <t>Автоматизирован</t>
        </is>
      </c>
      <c r="O123" s="27" t="inlineStr">
        <is>
          <t>storefront/orders/OrdersTest#ordersListHasTabs</t>
        </is>
      </c>
      <c r="P123" s="29" t="inlineStr">
        <is>
          <t>Не выполнен</t>
        </is>
      </c>
      <c r="Q123" s="27" t="inlineStr"/>
    </row>
    <row r="124" ht="34" customHeight="1">
      <c r="A124" s="26" t="inlineStr">
        <is>
          <t>ORD-002</t>
        </is>
      </c>
      <c r="B124" s="27" t="inlineStr">
        <is>
          <t>Мои заказы</t>
        </is>
      </c>
      <c r="C124" s="27" t="inlineStr">
        <is>
          <t>Список</t>
        </is>
      </c>
      <c r="D124" s="28" t="inlineStr">
        <is>
          <t>Данные в карточке заказа</t>
        </is>
      </c>
      <c r="E124" s="29" t="inlineStr">
        <is>
          <t>P2</t>
        </is>
      </c>
      <c r="F124" s="29" t="inlineStr">
        <is>
          <t>UI</t>
        </is>
      </c>
      <c r="G124" s="27" t="inlineStr">
        <is>
          <t>Пользователь авторизован как Мастер; есть заказы</t>
        </is>
      </c>
      <c r="H124" s="27" t="inlineStr">
        <is>
          <t>1. Осмотреть карточку заказа</t>
        </is>
      </c>
      <c r="I124" s="27" t="inlineStr"/>
      <c r="J124" s="27" t="inlineStr">
        <is>
          <t>Номер, статус-бейдж, дата, кол-во товаров, статус оплаты, способ оплаты, способ доставки, общая цена</t>
        </is>
      </c>
      <c r="K124" s="27" t="inlineStr"/>
      <c r="L124" s="29" t="inlineStr">
        <is>
          <t>Да</t>
        </is>
      </c>
      <c r="M124" s="27" t="inlineStr"/>
      <c r="N124" s="29" t="inlineStr">
        <is>
          <t>Автоматизирован</t>
        </is>
      </c>
      <c r="O124" s="27" t="inlineStr">
        <is>
          <t>storefront/orders/OrdersTest#orderCardContainsMainFields</t>
        </is>
      </c>
      <c r="P124" s="29" t="inlineStr">
        <is>
          <t>Не выполнен</t>
        </is>
      </c>
      <c r="Q124" s="27" t="inlineStr"/>
    </row>
    <row r="125" ht="62" customHeight="1">
      <c r="A125" s="26" t="inlineStr">
        <is>
          <t>ORD-003</t>
        </is>
      </c>
      <c r="B125" s="27" t="inlineStr">
        <is>
          <t>Мои заказы</t>
        </is>
      </c>
      <c r="C125" s="27" t="inlineStr">
        <is>
          <t>Фильтры</t>
        </is>
      </c>
      <c r="D125" s="28" t="inlineStr">
        <is>
          <t>Фильтры списка заказов</t>
        </is>
      </c>
      <c r="E125" s="29" t="inlineStr">
        <is>
          <t>P2</t>
        </is>
      </c>
      <c r="F125" s="29" t="inlineStr">
        <is>
          <t>Functional</t>
        </is>
      </c>
      <c r="G125" s="27" t="inlineStr">
        <is>
          <t>Пользователь авторизован как Мастер; есть заказы и возвраты</t>
        </is>
      </c>
      <c r="H125" s="27" t="inlineStr">
        <is>
          <t>1. На вкладке «Все» выбрать «Заказ», затем «Возврат товара»
2. Открыть «Фильтры», задать период С/До
3. Сбросить</t>
        </is>
      </c>
      <c r="I125" s="27" t="inlineStr"/>
      <c r="J125" s="27" t="inlineStr">
        <is>
          <t>Чипы фильтруют список (один выбранный); период фильтрует по дате; «Применить»/«Очистить» неактивны, пока ничего не изменено. По PRD также поиск по ID и фильтр по типу оплаты (Наличные/Балл/Hamyon)</t>
        </is>
      </c>
      <c r="K125" s="27" t="inlineStr">
        <is>
          <t>PRD My Orders §4.3–4.4</t>
        </is>
      </c>
      <c r="L125" s="29" t="inlineStr">
        <is>
          <t>Да</t>
        </is>
      </c>
      <c r="M125" s="27" t="inlineStr">
        <is>
          <t>Фильтры списка — требуют разведки</t>
        </is>
      </c>
      <c r="N125" s="29" t="inlineStr">
        <is>
          <t>Не автоматизирован</t>
        </is>
      </c>
      <c r="O125" s="27" t="inlineStr"/>
      <c r="P125" s="29" t="inlineStr">
        <is>
          <t>Не выполнен</t>
        </is>
      </c>
      <c r="Q125" s="27" t="inlineStr"/>
    </row>
    <row r="126" ht="104" customHeight="1">
      <c r="A126" s="26" t="inlineStr">
        <is>
          <t>ORD-004</t>
        </is>
      </c>
      <c r="B126" s="27" t="inlineStr">
        <is>
          <t>Мои заказы</t>
        </is>
      </c>
      <c r="C126" s="27" t="inlineStr">
        <is>
          <t>Детали</t>
        </is>
      </c>
      <c r="D126" s="28" t="inlineStr">
        <is>
          <t>Детали заказа</t>
        </is>
      </c>
      <c r="E126" s="29" t="inlineStr">
        <is>
          <t>P1</t>
        </is>
      </c>
      <c r="F126" s="29" t="inlineStr">
        <is>
          <t>Functional</t>
        </is>
      </c>
      <c r="G126" s="27" t="inlineStr">
        <is>
          <t>Пользователь авторизован как Мастер; есть заказ</t>
        </is>
      </c>
      <c r="H126" s="27" t="inlineStr">
        <is>
          <t>1. Нажать на заказ</t>
        </is>
      </c>
      <c r="I126" s="27" t="inlineStr"/>
      <c r="J126" s="27" t="inlineStr">
        <is>
          <t>Статус, дата создания (и доставки/отмены или ожидаемая дата), способ и адрес доставки, способ оплаты, срок оплаты (только для Hamyon, иначе «—»), дата и статус оплаты, цена заказа, доставка, скидка, начисленные баллы (1%), итог = цена + доставка − скидка; товары: фото, название с ID, «кол-во × цена» по цене B2M</t>
        </is>
      </c>
      <c r="K126" s="27" t="inlineStr">
        <is>
          <t>PRD My Orders §4.5</t>
        </is>
      </c>
      <c r="L126" s="29" t="inlineStr">
        <is>
          <t>Да</t>
        </is>
      </c>
      <c r="M126" s="27" t="inlineStr">
        <is>
          <t>Часть полей сейчас отсутствует — см. «Замечания»</t>
        </is>
      </c>
      <c r="N126" s="29" t="inlineStr">
        <is>
          <t>Автоматизирован</t>
        </is>
      </c>
      <c r="O126" s="27" t="inlineStr">
        <is>
          <t>storefront/orders/OrdersTest#orderDetailsOpen</t>
        </is>
      </c>
      <c r="P126" s="29" t="inlineStr">
        <is>
          <t>Не выполнен</t>
        </is>
      </c>
      <c r="Q126" s="27" t="inlineStr"/>
    </row>
    <row r="127" ht="48" customHeight="1">
      <c r="A127" s="26" t="inlineStr">
        <is>
          <t>ORD-005</t>
        </is>
      </c>
      <c r="B127" s="27" t="inlineStr">
        <is>
          <t>Мои заказы</t>
        </is>
      </c>
      <c r="C127" s="27" t="inlineStr">
        <is>
          <t>Детали</t>
        </is>
      </c>
      <c r="D127" s="28" t="inlineStr">
        <is>
          <t>Суммы и данные заказа совпадают с оформлением</t>
        </is>
      </c>
      <c r="E127" s="29" t="inlineStr">
        <is>
          <t>P1</t>
        </is>
      </c>
      <c r="F127" s="29" t="inlineStr">
        <is>
          <t>Functional</t>
        </is>
      </c>
      <c r="G127" s="27" t="inlineStr">
        <is>
          <t>Пользователь авторизован как Мастер; только что оформлен заказ</t>
        </is>
      </c>
      <c r="H127" s="27" t="inlineStr">
        <is>
          <t>1. Открыть детали нового заказа</t>
        </is>
      </c>
      <c r="I127" s="27" t="inlineStr"/>
      <c r="J127" s="27" t="inlineStr">
        <is>
          <t>Товары, количество, способ доставки, адрес и «Итого» совпадают с введёнными при оформлении</t>
        </is>
      </c>
      <c r="K127" s="27" t="inlineStr"/>
      <c r="L127" s="29" t="inlineStr">
        <is>
          <t>Да</t>
        </is>
      </c>
      <c r="M127" s="27" t="inlineStr">
        <is>
          <t>Сверка с оформлением требует создания заказа</t>
        </is>
      </c>
      <c r="N127" s="29" t="inlineStr">
        <is>
          <t>Не автоматизирован</t>
        </is>
      </c>
      <c r="O127" s="27" t="inlineStr"/>
      <c r="P127" s="29" t="inlineStr">
        <is>
          <t>Не выполнен</t>
        </is>
      </c>
      <c r="Q127" s="27" t="inlineStr"/>
    </row>
    <row r="128" ht="48" customHeight="1">
      <c r="A128" s="26" t="inlineStr">
        <is>
          <t>ORD-006</t>
        </is>
      </c>
      <c r="B128" s="27" t="inlineStr">
        <is>
          <t>Мои заказы</t>
        </is>
      </c>
      <c r="C128" s="27" t="inlineStr">
        <is>
          <t>Статусы</t>
        </is>
      </c>
      <c r="D128" s="28" t="inlineStr">
        <is>
          <t>Смена статуса заказа в админке отражается у мастера</t>
        </is>
      </c>
      <c r="E128" s="29" t="inlineStr">
        <is>
          <t>P1</t>
        </is>
      </c>
      <c r="F128" s="29" t="inlineStr">
        <is>
          <t>Integration</t>
        </is>
      </c>
      <c r="G128" s="27" t="inlineStr">
        <is>
          <t>Пользователь авторизован как Мастер; заказ в статусе «Новый»</t>
        </is>
      </c>
      <c r="H128" s="27" t="inlineStr">
        <is>
          <t>1. В админке перевести заказ в следующий статус
2. Обновить «Мои заказы»</t>
        </is>
      </c>
      <c r="I128" s="27" t="inlineStr"/>
      <c r="J128" s="27" t="inlineStr">
        <is>
          <t>Статус и бейдж обновились, заказ перемещается между вкладками корректно</t>
        </is>
      </c>
      <c r="K128" s="27" t="inlineStr"/>
      <c r="L128" s="29" t="inlineStr">
        <is>
          <t>Частично</t>
        </is>
      </c>
      <c r="M128" s="27" t="inlineStr">
        <is>
          <t>Нужна админка (смена статуса)</t>
        </is>
      </c>
      <c r="N128" s="29" t="inlineStr">
        <is>
          <t>Не автоматизирован</t>
        </is>
      </c>
      <c r="O128" s="27" t="inlineStr"/>
      <c r="P128" s="29" t="inlineStr">
        <is>
          <t>Не выполнен</t>
        </is>
      </c>
      <c r="Q128" s="27" t="inlineStr"/>
    </row>
    <row r="129" ht="76" customHeight="1">
      <c r="A129" s="26" t="inlineStr">
        <is>
          <t>ORD-007</t>
        </is>
      </c>
      <c r="B129" s="27" t="inlineStr">
        <is>
          <t>Мои заказы</t>
        </is>
      </c>
      <c r="C129" s="27" t="inlineStr">
        <is>
          <t>Отмена</t>
        </is>
      </c>
      <c r="D129" s="28" t="inlineStr">
        <is>
          <t>Отмена заказа мастером с выбором причины</t>
        </is>
      </c>
      <c r="E129" s="29" t="inlineStr">
        <is>
          <t>P1</t>
        </is>
      </c>
      <c r="F129" s="29" t="inlineStr">
        <is>
          <t>Functional</t>
        </is>
      </c>
      <c r="G129" s="27" t="inlineStr">
        <is>
          <t>Пользователь авторизован как Мастер; есть незавершённый заказ (создать через CHK)</t>
        </is>
      </c>
      <c r="H129" s="27" t="inlineStr">
        <is>
          <t>1. Открыть детали заказа
2. Нажать «Отменить заказ»
3. Выбрать причину «Заказал(а) по ошибке»
4. Нажать «Да, отменить»</t>
        </is>
      </c>
      <c r="I129" s="27" t="inlineStr"/>
      <c r="J129" s="27" t="inlineStr">
        <is>
          <t>Окно «Отменить заказ?» с суммой возврата; «Да, отменить» неактивна до выбора причины; после отмены статус «Отменен», в деталях «Причина отмены», блок «Действия» исчез; приходит уведомление «Ваш заказ отменён.»; товар вернулся в остаток</t>
        </is>
      </c>
      <c r="K129" s="27" t="inlineStr">
        <is>
          <t>PRD Buyurtmani bekor qilish; Проверено на staging 28.10.2026</t>
        </is>
      </c>
      <c r="L129" s="29" t="inlineStr">
        <is>
          <t>Да</t>
        </is>
      </c>
      <c r="M129" s="27" t="inlineStr">
        <is>
          <t>Отмена заказа меняет данные — только на специально созданном заказе</t>
        </is>
      </c>
      <c r="N129" s="29" t="inlineStr">
        <is>
          <t>Не автоматизирован</t>
        </is>
      </c>
      <c r="O129" s="27" t="inlineStr"/>
      <c r="P129" s="29" t="inlineStr">
        <is>
          <t>Не выполнен</t>
        </is>
      </c>
      <c r="Q129" s="27" t="inlineStr"/>
    </row>
    <row r="130" ht="62" customHeight="1">
      <c r="A130" s="26" t="inlineStr">
        <is>
          <t>ORD-008</t>
        </is>
      </c>
      <c r="B130" s="27" t="inlineStr">
        <is>
          <t>Мои заказы</t>
        </is>
      </c>
      <c r="C130" s="27" t="inlineStr">
        <is>
          <t>Возврат</t>
        </is>
      </c>
      <c r="D130" s="28" t="inlineStr">
        <is>
          <t>Карточка и детали возврата</t>
        </is>
      </c>
      <c r="E130" s="29" t="inlineStr">
        <is>
          <t>P2</t>
        </is>
      </c>
      <c r="F130" s="29" t="inlineStr">
        <is>
          <t>Integration</t>
        </is>
      </c>
      <c r="G130" s="27" t="inlineStr">
        <is>
          <t>Пользователь авторизован как Мастер; администратор оформил возврат по выполненному заказу</t>
        </is>
      </c>
      <c r="H130" s="27" t="inlineStr">
        <is>
          <t>1. «Мои заказы» → «Все» → «Возврат товара»
2. Открыть возврат</t>
        </is>
      </c>
      <c r="I130" s="27" t="inlineStr"/>
      <c r="J130" s="27" t="inlineStr">
        <is>
          <t>Карточка: ID, статус «Возвращён», возвращающий, дата, склад, кол-во, сумма. Детали: склад, способ оплаты, списанные баллы красным с «−», итог, товары по цене продажи. Возврат создаёт только админ</t>
        </is>
      </c>
      <c r="K130" s="27" t="inlineStr">
        <is>
          <t>PRD My Orders §4.6; PRD Product Return</t>
        </is>
      </c>
      <c r="L130" s="29" t="inlineStr">
        <is>
          <t>Частично</t>
        </is>
      </c>
      <c r="M130" s="27" t="inlineStr">
        <is>
          <t>Нужен возврат из админки</t>
        </is>
      </c>
      <c r="N130" s="29" t="inlineStr">
        <is>
          <t>Не автоматизирован</t>
        </is>
      </c>
      <c r="O130" s="27" t="inlineStr"/>
      <c r="P130" s="29" t="inlineStr">
        <is>
          <t>Не выполнен</t>
        </is>
      </c>
      <c r="Q130" s="27" t="inlineStr"/>
    </row>
    <row r="131" ht="34" customHeight="1">
      <c r="A131" s="26" t="inlineStr">
        <is>
          <t>ORD-009</t>
        </is>
      </c>
      <c r="B131" s="27" t="inlineStr">
        <is>
          <t>Мои заказы</t>
        </is>
      </c>
      <c r="C131" s="27" t="inlineStr">
        <is>
          <t>Навигация</t>
        </is>
      </c>
      <c r="D131" s="28" t="inlineStr">
        <is>
          <t>Кнопка «Назад» в деталях заказа</t>
        </is>
      </c>
      <c r="E131" s="29" t="inlineStr">
        <is>
          <t>P3</t>
        </is>
      </c>
      <c r="F131" s="29" t="inlineStr">
        <is>
          <t>UI</t>
        </is>
      </c>
      <c r="G131" s="27" t="inlineStr">
        <is>
          <t>Пользователь авторизован как Мастер; открыты детали заказа</t>
        </is>
      </c>
      <c r="H131" s="27" t="inlineStr">
        <is>
          <t>1. Нажать «Назад»</t>
        </is>
      </c>
      <c r="I131" s="27" t="inlineStr"/>
      <c r="J131" s="27" t="inlineStr">
        <is>
          <t>Возврат к списку заказов с сохранением вкладки/фильтра</t>
        </is>
      </c>
      <c r="K131" s="27" t="inlineStr"/>
      <c r="L131" s="29" t="inlineStr">
        <is>
          <t>Да</t>
        </is>
      </c>
      <c r="M131" s="27" t="inlineStr">
        <is>
          <t>Мелкая UI-проверка; можно добавить позже</t>
        </is>
      </c>
      <c r="N131" s="29" t="inlineStr">
        <is>
          <t>Не автоматизирован</t>
        </is>
      </c>
      <c r="O131" s="27" t="inlineStr"/>
      <c r="P131" s="29" t="inlineStr">
        <is>
          <t>Не выполнен</t>
        </is>
      </c>
      <c r="Q131" s="27" t="inlineStr"/>
    </row>
    <row r="132" ht="34" customHeight="1">
      <c r="A132" s="26" t="inlineStr">
        <is>
          <t>ORD-010</t>
        </is>
      </c>
      <c r="B132" s="27" t="inlineStr">
        <is>
          <t>Мои заказы</t>
        </is>
      </c>
      <c r="C132" s="27" t="inlineStr">
        <is>
          <t>Безопасность</t>
        </is>
      </c>
      <c r="D132" s="28" t="inlineStr">
        <is>
          <t>Чужой заказ недоступен по прямой ссылке</t>
        </is>
      </c>
      <c r="E132" s="29" t="inlineStr">
        <is>
          <t>P2</t>
        </is>
      </c>
      <c r="F132" s="29" t="inlineStr">
        <is>
          <t>Security</t>
        </is>
      </c>
      <c r="G132" s="27" t="inlineStr">
        <is>
          <t>Пользователь авторизован как Мастер</t>
        </is>
      </c>
      <c r="H132" s="27" t="inlineStr">
        <is>
          <t>1. Открыть /ru/profile/orders/{id чужого заказа}</t>
        </is>
      </c>
      <c r="I132" s="27" t="inlineStr"/>
      <c r="J132" s="27" t="inlineStr">
        <is>
          <t>Доступ запрещён / 404, данные чужого заказа не показаны</t>
        </is>
      </c>
      <c r="K132" s="27" t="inlineStr"/>
      <c r="L132" s="29" t="inlineStr">
        <is>
          <t>Да</t>
        </is>
      </c>
      <c r="M132" s="27" t="inlineStr">
        <is>
          <t>Нужен ID заказа другого пользователя</t>
        </is>
      </c>
      <c r="N132" s="29" t="inlineStr">
        <is>
          <t>Автоматизирован</t>
        </is>
      </c>
      <c r="O132" s="27" t="inlineStr">
        <is>
          <t>storefront/orders/OrdersTest#foreignOrderIsNotAccessible</t>
        </is>
      </c>
      <c r="P132" s="29" t="inlineStr">
        <is>
          <t>Не выполнен</t>
        </is>
      </c>
      <c r="Q132" s="27" t="inlineStr"/>
    </row>
    <row r="133" ht="62" customHeight="1">
      <c r="A133" s="26" t="inlineStr">
        <is>
          <t>ORD-011</t>
        </is>
      </c>
      <c r="B133" s="27" t="inlineStr">
        <is>
          <t>Мои заказы</t>
        </is>
      </c>
      <c r="C133" s="27" t="inlineStr">
        <is>
          <t>Отмена</t>
        </is>
      </c>
      <c r="D133" s="28" t="inlineStr">
        <is>
          <t>Отмена недоступна без причины; «Другая причина» требует текст</t>
        </is>
      </c>
      <c r="E133" s="29" t="inlineStr">
        <is>
          <t>P2</t>
        </is>
      </c>
      <c r="F133" s="29" t="inlineStr">
        <is>
          <t>Negative</t>
        </is>
      </c>
      <c r="G133" s="27" t="inlineStr">
        <is>
          <t>Пользователь авторизован как Мастер; есть незавершённый заказ</t>
        </is>
      </c>
      <c r="H133" s="27" t="inlineStr">
        <is>
          <t>1. «Отменить заказ»
2. Не выбирать причину
3. Выбрать «Другая причина», ввести 3 символа, затем 10</t>
        </is>
      </c>
      <c r="I133" s="27" t="inlineStr"/>
      <c r="J133" s="27" t="inlineStr">
        <is>
          <t>Без причины «Да, отменить» неактивна; причины: Заказал(а) по ошибке, Передумал(а), Выбрал(а) не тот товар, Срок не подошёл, Другая причина; для «Другой» комментарий обязателен, 5–200 символов</t>
        </is>
      </c>
      <c r="K133" s="27" t="inlineStr">
        <is>
          <t>PRD Buyurtmani bekor qilish §5.2, BQ-001; Проверено на staging 28.10.2026</t>
        </is>
      </c>
      <c r="L133" s="29" t="inlineStr">
        <is>
          <t>Да</t>
        </is>
      </c>
      <c r="M133" s="27" t="inlineStr">
        <is>
          <t>Требует активного заказа для отмены</t>
        </is>
      </c>
      <c r="N133" s="29" t="inlineStr">
        <is>
          <t>Не автоматизирован</t>
        </is>
      </c>
      <c r="O133" s="27" t="inlineStr"/>
      <c r="P133" s="29" t="inlineStr">
        <is>
          <t>Не выполнен</t>
        </is>
      </c>
      <c r="Q133" s="27" t="inlineStr"/>
    </row>
    <row r="134" ht="48" customHeight="1">
      <c r="A134" s="26" t="inlineStr">
        <is>
          <t>ORD-012</t>
        </is>
      </c>
      <c r="B134" s="27" t="inlineStr">
        <is>
          <t>Мои заказы</t>
        </is>
      </c>
      <c r="C134" s="27" t="inlineStr">
        <is>
          <t>Отмена</t>
        </is>
      </c>
      <c r="D134" s="28" t="inlineStr">
        <is>
          <t>«Нет, оставить» не отменяет заказ</t>
        </is>
      </c>
      <c r="E134" s="29" t="inlineStr">
        <is>
          <t>P3</t>
        </is>
      </c>
      <c r="F134" s="29" t="inlineStr">
        <is>
          <t>Functional</t>
        </is>
      </c>
      <c r="G134" s="27" t="inlineStr">
        <is>
          <t>Пользователь авторизован как Мастер; есть незавершённый заказ</t>
        </is>
      </c>
      <c r="H134" s="27" t="inlineStr">
        <is>
          <t>1. «Отменить заказ»
2. Нажать «Нет, оставить»</t>
        </is>
      </c>
      <c r="I134" s="27" t="inlineStr"/>
      <c r="J134" s="27" t="inlineStr">
        <is>
          <t>Окно закрыто, статус заказа не изменился</t>
        </is>
      </c>
      <c r="K134" s="27" t="inlineStr">
        <is>
          <t>Проверено на staging 28.10.2026</t>
        </is>
      </c>
      <c r="L134" s="29" t="inlineStr">
        <is>
          <t>Да</t>
        </is>
      </c>
      <c r="M134" s="27" t="inlineStr">
        <is>
          <t>Требует активного заказа</t>
        </is>
      </c>
      <c r="N134" s="29" t="inlineStr">
        <is>
          <t>Не автоматизирован</t>
        </is>
      </c>
      <c r="O134" s="27" t="inlineStr"/>
      <c r="P134" s="29" t="inlineStr">
        <is>
          <t>Не выполнен</t>
        </is>
      </c>
      <c r="Q134" s="27" t="inlineStr"/>
    </row>
    <row r="135" ht="48" customHeight="1">
      <c r="A135" s="26" t="inlineStr">
        <is>
          <t>ORD-013</t>
        </is>
      </c>
      <c r="B135" s="27" t="inlineStr">
        <is>
          <t>Мои заказы</t>
        </is>
      </c>
      <c r="C135" s="27" t="inlineStr">
        <is>
          <t>Отмена</t>
        </is>
      </c>
      <c r="D135" s="28" t="inlineStr">
        <is>
          <t>Список заказов обновляется после отмены</t>
        </is>
      </c>
      <c r="E135" s="29" t="inlineStr">
        <is>
          <t>P2</t>
        </is>
      </c>
      <c r="F135" s="29" t="inlineStr">
        <is>
          <t>Functional</t>
        </is>
      </c>
      <c r="G135" s="27" t="inlineStr">
        <is>
          <t>Пользователь авторизован как Мастер; заказ только что отменён в деталях</t>
        </is>
      </c>
      <c r="H135" s="27" t="inlineStr">
        <is>
          <t>1. После отмены перейти в «Мои заказы» (без перезагрузки)</t>
        </is>
      </c>
      <c r="I135" s="27" t="inlineStr"/>
      <c r="J135" s="27" t="inlineStr">
        <is>
          <t>Статус заказа в списке — «Отменен» сразу, без перезагрузки страницы</t>
        </is>
      </c>
      <c r="K135" s="27" t="inlineStr">
        <is>
          <t>Проверено на staging 28.10.2026</t>
        </is>
      </c>
      <c r="L135" s="29" t="inlineStr">
        <is>
          <t>Да</t>
        </is>
      </c>
      <c r="M135" s="27" t="inlineStr">
        <is>
          <t>Требует отмены заказа</t>
        </is>
      </c>
      <c r="N135" s="29" t="inlineStr">
        <is>
          <t>Не автоматизирован</t>
        </is>
      </c>
      <c r="O135" s="27" t="inlineStr"/>
      <c r="P135" s="29" t="inlineStr">
        <is>
          <t>Не выполнен</t>
        </is>
      </c>
      <c r="Q135" s="27" t="inlineStr"/>
    </row>
    <row r="136" ht="76" customHeight="1">
      <c r="A136" s="26" t="inlineStr">
        <is>
          <t>ORD-014</t>
        </is>
      </c>
      <c r="B136" s="27" t="inlineStr">
        <is>
          <t>Мои заказы</t>
        </is>
      </c>
      <c r="C136" s="27" t="inlineStr">
        <is>
          <t>Смена оплаты</t>
        </is>
      </c>
      <c r="D136" s="28" t="inlineStr">
        <is>
          <t>Смена способа оплаты самим мастером</t>
        </is>
      </c>
      <c r="E136" s="29" t="inlineStr">
        <is>
          <t>P1</t>
        </is>
      </c>
      <c r="F136" s="29" t="inlineStr">
        <is>
          <t>Functional</t>
        </is>
      </c>
      <c r="G136" s="27" t="inlineStr">
        <is>
          <t>Пользователь авторизован как Мастер; заказ не оплачен, статус: создан / отправлен / принят</t>
        </is>
      </c>
      <c r="H136" s="27" t="inlineStr">
        <is>
          <t>1. Детали заказа → «Изменить способ оплаты»
2. Выбрать новый способ
3. «Подтвердить»</t>
        </is>
      </c>
      <c r="I136" s="27" t="inlineStr">
        <is>
          <t>Наличные → Балл (при достаточных баллах) / → Hamyon</t>
        </is>
      </c>
      <c r="J136" s="27" t="inlineStr">
        <is>
          <t>Текущий способ показан отдельно и не выбирается; недоступные способы неактивны с причиной; для Hamyon нужно выбрать срок; изменение применяется сразу, тост об успехе, блок «Оплата» обновлён (Балл → «Оплачено»)</t>
        </is>
      </c>
      <c r="K136" s="27" t="inlineStr">
        <is>
          <t>PRD Change Payment Method §5.1, §5.3; Проверено на staging 28.10.2026</t>
        </is>
      </c>
      <c r="L136" s="29" t="inlineStr">
        <is>
          <t>Да</t>
        </is>
      </c>
      <c r="M136" s="27" t="inlineStr">
        <is>
          <t>Меняет способ оплаты заказа</t>
        </is>
      </c>
      <c r="N136" s="29" t="inlineStr">
        <is>
          <t>Не автоматизирован</t>
        </is>
      </c>
      <c r="O136" s="27" t="inlineStr"/>
      <c r="P136" s="29" t="inlineStr">
        <is>
          <t>Не выполнен</t>
        </is>
      </c>
      <c r="Q136" s="27" t="inlineStr"/>
    </row>
    <row r="137" ht="62" customHeight="1">
      <c r="A137" s="26" t="inlineStr">
        <is>
          <t>ORD-015</t>
        </is>
      </c>
      <c r="B137" s="27" t="inlineStr">
        <is>
          <t>Мои заказы</t>
        </is>
      </c>
      <c r="C137" s="27" t="inlineStr">
        <is>
          <t>Смена оплаты</t>
        </is>
      </c>
      <c r="D137" s="28" t="inlineStr">
        <is>
          <t>Смена оплаты недоступна для завершённых и оплаченных заказов</t>
        </is>
      </c>
      <c r="E137" s="29" t="inlineStr">
        <is>
          <t>P2</t>
        </is>
      </c>
      <c r="F137" s="29" t="inlineStr">
        <is>
          <t>Negative</t>
        </is>
      </c>
      <c r="G137" s="27" t="inlineStr">
        <is>
          <t>Пользователь авторизован как Мастер; заказы: доставлен / отменён / возвращён / оплачен наличными</t>
        </is>
      </c>
      <c r="H137" s="27" t="inlineStr">
        <is>
          <t>1. Открыть детали каждого</t>
        </is>
      </c>
      <c r="I137" s="27" t="inlineStr"/>
      <c r="J137" s="27" t="inlineStr">
        <is>
          <t>Кнопки «Изменить способ оплаты» нет; исключение — заказ, оплаченный баллами (его можно сменить, баллы вернутся)</t>
        </is>
      </c>
      <c r="K137" s="27" t="inlineStr">
        <is>
          <t>PRD Change Payment Method §5.1</t>
        </is>
      </c>
      <c r="L137" s="29" t="inlineStr">
        <is>
          <t>Да</t>
        </is>
      </c>
      <c r="M137" s="27" t="inlineStr">
        <is>
          <t>Нужны завершённые и оплаченные заказы</t>
        </is>
      </c>
      <c r="N137" s="29" t="inlineStr">
        <is>
          <t>Не автоматизирован</t>
        </is>
      </c>
      <c r="O137" s="27" t="inlineStr"/>
      <c r="P137" s="29" t="inlineStr">
        <is>
          <t>Не выполнен</t>
        </is>
      </c>
      <c r="Q137" s="27" t="inlineStr"/>
    </row>
    <row r="138" ht="48" customHeight="1">
      <c r="A138" s="26" t="inlineStr">
        <is>
          <t>ORD-016</t>
        </is>
      </c>
      <c r="B138" s="27" t="inlineStr">
        <is>
          <t>Мои заказы</t>
        </is>
      </c>
      <c r="C138" s="27" t="inlineStr">
        <is>
          <t>Смена оплаты</t>
        </is>
      </c>
      <c r="D138" s="28" t="inlineStr">
        <is>
          <t>Смена Балл → Наличные возвращает баллы</t>
        </is>
      </c>
      <c r="E138" s="29" t="inlineStr">
        <is>
          <t>P2</t>
        </is>
      </c>
      <c r="F138" s="29" t="inlineStr">
        <is>
          <t>Integration</t>
        </is>
      </c>
      <c r="G138" s="27" t="inlineStr">
        <is>
          <t>Пользователь авторизован как Мастер; заказ оплачен баллами, возвратов нет</t>
        </is>
      </c>
      <c r="H138" s="27" t="inlineStr">
        <is>
          <t>1. «Изменить способ оплаты» → Наличные
2. Открыть «Баллы»</t>
        </is>
      </c>
      <c r="I138" s="27" t="inlineStr"/>
      <c r="J138" s="27" t="inlineStr">
        <is>
          <t>Баллы возвращены на баланс, заказ — «Наличные», «Не оплачено»</t>
        </is>
      </c>
      <c r="K138" s="27" t="inlineStr">
        <is>
          <t>PRD Change Payment Method §5.4</t>
        </is>
      </c>
      <c r="L138" s="29" t="inlineStr">
        <is>
          <t>Частично</t>
        </is>
      </c>
      <c r="M138" s="27" t="inlineStr">
        <is>
          <t>Нужна админка и баллы</t>
        </is>
      </c>
      <c r="N138" s="29" t="inlineStr">
        <is>
          <t>Не автоматизирован</t>
        </is>
      </c>
      <c r="O138" s="27" t="inlineStr"/>
      <c r="P138" s="29" t="inlineStr">
        <is>
          <t>Не выполнен</t>
        </is>
      </c>
      <c r="Q138" s="27" t="inlineStr"/>
    </row>
    <row r="139" ht="62" customHeight="1">
      <c r="A139" s="26" t="inlineStr">
        <is>
          <t>ORD-017</t>
        </is>
      </c>
      <c r="B139" s="27" t="inlineStr">
        <is>
          <t>Мои заказы</t>
        </is>
      </c>
      <c r="C139" s="27" t="inlineStr">
        <is>
          <t>Смена оплаты</t>
        </is>
      </c>
      <c r="D139" s="28" t="inlineStr">
        <is>
          <t>Подтверждение/отклонение запроса продавца на смену оплаты</t>
        </is>
      </c>
      <c r="E139" s="29" t="inlineStr">
        <is>
          <t>P2</t>
        </is>
      </c>
      <c r="F139" s="29" t="inlineStr">
        <is>
          <t>Integration</t>
        </is>
      </c>
      <c r="G139" s="27" t="inlineStr">
        <is>
          <t>Пользователь авторизован как Мастер; продавец в админке отправил запрос «Наличные → Hamyon»</t>
        </is>
      </c>
      <c r="H139" s="27" t="inlineStr">
        <is>
          <t>1. Открыть заказ
2. На баннере нажать «Подтвердить» (или «Отклонить»)</t>
        </is>
      </c>
      <c r="I139" s="27" t="inlineStr"/>
      <c r="J139" s="27" t="inlineStr">
        <is>
          <t>Баннер «Запрос на смену способа оплаты: X → Y»; срок Hamyon показан только для чтения; после подтверждения способ сменён, после отклонения — без изменений; индикатор «ждёт ответа» снимается</t>
        </is>
      </c>
      <c r="K139" s="27" t="inlineStr">
        <is>
          <t>PRD Change Payment Method §5.3, §5.5</t>
        </is>
      </c>
      <c r="L139" s="29" t="inlineStr">
        <is>
          <t>Частично</t>
        </is>
      </c>
      <c r="M139" s="27" t="inlineStr">
        <is>
          <t>Нужен запрос продавца (админка)</t>
        </is>
      </c>
      <c r="N139" s="29" t="inlineStr">
        <is>
          <t>Не автоматизирован</t>
        </is>
      </c>
      <c r="O139" s="27" t="inlineStr"/>
      <c r="P139" s="29" t="inlineStr">
        <is>
          <t>Не выполнен</t>
        </is>
      </c>
      <c r="Q139" s="27" t="inlineStr"/>
    </row>
    <row r="140" ht="34" customHeight="1">
      <c r="A140" s="26" t="inlineStr">
        <is>
          <t>ORD-018</t>
        </is>
      </c>
      <c r="B140" s="27" t="inlineStr">
        <is>
          <t>Мои заказы</t>
        </is>
      </c>
      <c r="C140" s="27" t="inlineStr">
        <is>
          <t>Отмена</t>
        </is>
      </c>
      <c r="D140" s="28" t="inlineStr">
        <is>
          <t>Отменённый заказ с оплатой баллами возвращает баллы</t>
        </is>
      </c>
      <c r="E140" s="29" t="inlineStr">
        <is>
          <t>P2</t>
        </is>
      </c>
      <c r="F140" s="29" t="inlineStr">
        <is>
          <t>Integration</t>
        </is>
      </c>
      <c r="G140" s="27" t="inlineStr">
        <is>
          <t>Пользователь авторизован как Мастер; заказ оплачен баллами</t>
        </is>
      </c>
      <c r="H140" s="27" t="inlineStr">
        <is>
          <t>1. Отменить заказ
2. Открыть «Баллы»</t>
        </is>
      </c>
      <c r="I140" s="27" t="inlineStr"/>
      <c r="J140" s="27" t="inlineStr">
        <is>
          <t>Баллы вернулись на баланс; статус оплаты обновлён</t>
        </is>
      </c>
      <c r="K140" s="27" t="inlineStr">
        <is>
          <t>PRD Point</t>
        </is>
      </c>
      <c r="L140" s="29" t="inlineStr">
        <is>
          <t>Частично</t>
        </is>
      </c>
      <c r="M140" s="27" t="inlineStr">
        <is>
          <t>Нужна отмена заказа и баллы</t>
        </is>
      </c>
      <c r="N140" s="29" t="inlineStr">
        <is>
          <t>Не автоматизирован</t>
        </is>
      </c>
      <c r="O140" s="27" t="inlineStr"/>
      <c r="P140" s="29" t="inlineStr">
        <is>
          <t>Не выполнен</t>
        </is>
      </c>
      <c r="Q140" s="27" t="inlineStr"/>
    </row>
    <row r="141" ht="34" customHeight="1">
      <c r="A141" s="30" t="inlineStr">
        <is>
          <t>PRF-001</t>
        </is>
      </c>
      <c r="B141" s="31" t="inlineStr">
        <is>
          <t>Личные данные и адреса</t>
        </is>
      </c>
      <c r="C141" s="31" t="inlineStr">
        <is>
          <t>Личные данные</t>
        </is>
      </c>
      <c r="D141" s="32" t="inlineStr">
        <is>
          <t>Отображение личных данных и статуса</t>
        </is>
      </c>
      <c r="E141" s="33" t="inlineStr">
        <is>
          <t>P1</t>
        </is>
      </c>
      <c r="F141" s="33" t="inlineStr">
        <is>
          <t>Smoke</t>
        </is>
      </c>
      <c r="G141" s="31" t="inlineStr">
        <is>
          <t>Пользователь авторизован как Мастер</t>
        </is>
      </c>
      <c r="H141" s="31" t="inlineStr">
        <is>
          <t>1. Открыть «Профиль» → «Личные данные»</t>
        </is>
      </c>
      <c r="I141" s="31" t="inlineStr"/>
      <c r="J141" s="31" t="inlineStr">
        <is>
          <t>Имя, фамилия, телефон, пол; бейдж «Статус: Мастер»; список адресов доставки</t>
        </is>
      </c>
      <c r="K141" s="31" t="inlineStr"/>
      <c r="L141" s="33" t="inlineStr">
        <is>
          <t>Да</t>
        </is>
      </c>
      <c r="M141" s="31" t="inlineStr"/>
      <c r="N141" s="33" t="inlineStr">
        <is>
          <t>Автоматизирован</t>
        </is>
      </c>
      <c r="O141" s="31" t="inlineStr">
        <is>
          <t>storefront/profile/ProfileTest#personalDataIsShown</t>
        </is>
      </c>
      <c r="P141" s="33" t="inlineStr">
        <is>
          <t>Не выполнен</t>
        </is>
      </c>
      <c r="Q141" s="31" t="inlineStr"/>
    </row>
    <row r="142" ht="62" customHeight="1">
      <c r="A142" s="30" t="inlineStr">
        <is>
          <t>PRF-002</t>
        </is>
      </c>
      <c r="B142" s="31" t="inlineStr">
        <is>
          <t>Личные данные и адреса</t>
        </is>
      </c>
      <c r="C142" s="31" t="inlineStr">
        <is>
          <t>Личные данные</t>
        </is>
      </c>
      <c r="D142" s="32" t="inlineStr">
        <is>
          <t>Редактирование имени, фамилии и пола</t>
        </is>
      </c>
      <c r="E142" s="33" t="inlineStr">
        <is>
          <t>P2</t>
        </is>
      </c>
      <c r="F142" s="33" t="inlineStr">
        <is>
          <t>Functional</t>
        </is>
      </c>
      <c r="G142" s="31" t="inlineStr">
        <is>
          <t>Пользователь авторизован как Мастер</t>
        </is>
      </c>
      <c r="H142" s="31" t="inlineStr">
        <is>
          <t>1. Нажать «Изменить»
2. Изменить имя/пол
3. «Сохранить»
4. Вернуть исходные значения</t>
        </is>
      </c>
      <c r="I142" s="31" t="inlineStr"/>
      <c r="J142" s="31" t="inlineStr">
        <is>
          <t>Данные сохранены и отображаются в профиле и шапке</t>
        </is>
      </c>
      <c r="K142" s="31" t="inlineStr"/>
      <c r="L142" s="33" t="inlineStr">
        <is>
          <t>Да</t>
        </is>
      </c>
      <c r="M142" s="31" t="inlineStr">
        <is>
          <t>Редактирование данных меняет профиль пользователя — вручную</t>
        </is>
      </c>
      <c r="N142" s="33" t="inlineStr">
        <is>
          <t>Не автоматизирован</t>
        </is>
      </c>
      <c r="O142" s="31" t="inlineStr"/>
      <c r="P142" s="33" t="inlineStr">
        <is>
          <t>Не выполнен</t>
        </is>
      </c>
      <c r="Q142" s="31" t="inlineStr"/>
    </row>
    <row r="143" ht="48" customHeight="1">
      <c r="A143" s="30" t="inlineStr">
        <is>
          <t>PRF-003</t>
        </is>
      </c>
      <c r="B143" s="31" t="inlineStr">
        <is>
          <t>Личные данные и адреса</t>
        </is>
      </c>
      <c r="C143" s="31" t="inlineStr">
        <is>
          <t>Личные данные</t>
        </is>
      </c>
      <c r="D143" s="32" t="inlineStr">
        <is>
          <t>«Сохранить» неактивна без изменений; «Отменить» не сохраняет</t>
        </is>
      </c>
      <c r="E143" s="33" t="inlineStr">
        <is>
          <t>P3</t>
        </is>
      </c>
      <c r="F143" s="33" t="inlineStr">
        <is>
          <t>Functional</t>
        </is>
      </c>
      <c r="G143" s="31" t="inlineStr">
        <is>
          <t>Пользователь авторизован как Мастер</t>
        </is>
      </c>
      <c r="H143" s="31" t="inlineStr">
        <is>
          <t>1. Открыть «Изменить»
2. Проверить кнопку «Сохранить»
3. Изменить поле и нажать «Отменить»</t>
        </is>
      </c>
      <c r="I143" s="31" t="inlineStr"/>
      <c r="J143" s="31" t="inlineStr">
        <is>
          <t>Без изменений «Сохранить» неактивна; после «Отменить» данные прежние</t>
        </is>
      </c>
      <c r="K143" s="31" t="inlineStr"/>
      <c r="L143" s="33" t="inlineStr">
        <is>
          <t>Да</t>
        </is>
      </c>
      <c r="M143" s="31" t="inlineStr">
        <is>
          <t>Требует формы редактирования (разведка)</t>
        </is>
      </c>
      <c r="N143" s="33" t="inlineStr">
        <is>
          <t>Не автоматизирован</t>
        </is>
      </c>
      <c r="O143" s="31" t="inlineStr"/>
      <c r="P143" s="33" t="inlineStr">
        <is>
          <t>Не выполнен</t>
        </is>
      </c>
      <c r="Q143" s="31" t="inlineStr"/>
    </row>
    <row r="144" ht="48" customHeight="1">
      <c r="A144" s="30" t="inlineStr">
        <is>
          <t>PRF-004</t>
        </is>
      </c>
      <c r="B144" s="31" t="inlineStr">
        <is>
          <t>Личные данные и адреса</t>
        </is>
      </c>
      <c r="C144" s="31" t="inlineStr">
        <is>
          <t>Личные данные</t>
        </is>
      </c>
      <c r="D144" s="32" t="inlineStr">
        <is>
          <t>Валидация пустых имени и фамилии</t>
        </is>
      </c>
      <c r="E144" s="33" t="inlineStr">
        <is>
          <t>P3</t>
        </is>
      </c>
      <c r="F144" s="33" t="inlineStr">
        <is>
          <t>Negative</t>
        </is>
      </c>
      <c r="G144" s="31" t="inlineStr">
        <is>
          <t>Пользователь авторизован как Мастер</t>
        </is>
      </c>
      <c r="H144" s="31" t="inlineStr">
        <is>
          <t>1. Открыть «Изменить»
2. Очистить имя
3. «Сохранить»</t>
        </is>
      </c>
      <c r="I144" s="31" t="inlineStr"/>
      <c r="J144" s="31" t="inlineStr">
        <is>
          <t>Ошибка валидации, сохранение невозможно</t>
        </is>
      </c>
      <c r="K144" s="31" t="inlineStr"/>
      <c r="L144" s="33" t="inlineStr">
        <is>
          <t>Да</t>
        </is>
      </c>
      <c r="M144" s="31" t="inlineStr">
        <is>
          <t>Требует формы редактирования (разведка)</t>
        </is>
      </c>
      <c r="N144" s="33" t="inlineStr">
        <is>
          <t>Не автоматизирован</t>
        </is>
      </c>
      <c r="O144" s="31" t="inlineStr"/>
      <c r="P144" s="33" t="inlineStr">
        <is>
          <t>Не выполнен</t>
        </is>
      </c>
      <c r="Q144" s="31" t="inlineStr"/>
    </row>
    <row r="145" ht="48" customHeight="1">
      <c r="A145" s="30" t="inlineStr">
        <is>
          <t>PRF-005</t>
        </is>
      </c>
      <c r="B145" s="31" t="inlineStr">
        <is>
          <t>Личные данные и адреса</t>
        </is>
      </c>
      <c r="C145" s="31" t="inlineStr">
        <is>
          <t>Личные данные</t>
        </is>
      </c>
      <c r="D145" s="32" t="inlineStr">
        <is>
          <t>Смена номера телефона</t>
        </is>
      </c>
      <c r="E145" s="33" t="inlineStr">
        <is>
          <t>P2</t>
        </is>
      </c>
      <c r="F145" s="33" t="inlineStr">
        <is>
          <t>Functional</t>
        </is>
      </c>
      <c r="G145" s="31" t="inlineStr">
        <is>
          <t>Пользователь авторизован как Мастер</t>
        </is>
      </c>
      <c r="H145" s="31" t="inlineStr">
        <is>
          <t>1. В окне редактирования нажать «Изменить» у телефона
2. Ввести новый номер и SMS-код</t>
        </is>
      </c>
      <c r="I145" s="31" t="inlineStr"/>
      <c r="J145" s="31" t="inlineStr">
        <is>
          <t>Номер изменён, вход возможен по новому номеру</t>
        </is>
      </c>
      <c r="K145" s="31" t="inlineStr"/>
      <c r="L145" s="33" t="inlineStr">
        <is>
          <t>Частично</t>
        </is>
      </c>
      <c r="M145" s="31" t="inlineStr">
        <is>
          <t>Смена телефона требует SMS</t>
        </is>
      </c>
      <c r="N145" s="33" t="inlineStr">
        <is>
          <t>Не автоматизирован</t>
        </is>
      </c>
      <c r="O145" s="31" t="inlineStr"/>
      <c r="P145" s="33" t="inlineStr">
        <is>
          <t>Не выполнен</t>
        </is>
      </c>
      <c r="Q145" s="31" t="inlineStr"/>
    </row>
    <row r="146" ht="62" customHeight="1">
      <c r="A146" s="30" t="inlineStr">
        <is>
          <t>PRF-006</t>
        </is>
      </c>
      <c r="B146" s="31" t="inlineStr">
        <is>
          <t>Личные данные и адреса</t>
        </is>
      </c>
      <c r="C146" s="31" t="inlineStr">
        <is>
          <t>Адреса</t>
        </is>
      </c>
      <c r="D146" s="32" t="inlineStr">
        <is>
          <t>Добавление нового адреса</t>
        </is>
      </c>
      <c r="E146" s="33" t="inlineStr">
        <is>
          <t>P2</t>
        </is>
      </c>
      <c r="F146" s="33" t="inlineStr">
        <is>
          <t>Functional</t>
        </is>
      </c>
      <c r="G146" s="31" t="inlineStr">
        <is>
          <t>Пользователь авторизован как Мастер</t>
        </is>
      </c>
      <c r="H146" s="31" t="inlineStr">
        <is>
          <t>1. «Добавить адрес»
2. Заполнить регион, район, домашний адрес, подъезд, этаж, квартиру, ориентир
3. «Сохранить»</t>
        </is>
      </c>
      <c r="I146" s="31" t="inlineStr">
        <is>
          <t>г. Ташкент, Учтепинский, Тест 1</t>
        </is>
      </c>
      <c r="J146" s="31" t="inlineStr">
        <is>
          <t>Адрес появился в списке «Адрес доставки» и доступен при оформлении</t>
        </is>
      </c>
      <c r="K146" s="31" t="inlineStr"/>
      <c r="L146" s="33" t="inlineStr">
        <is>
          <t>Да</t>
        </is>
      </c>
      <c r="M146" s="31" t="inlineStr">
        <is>
          <t>Меняет адреса пользователя</t>
        </is>
      </c>
      <c r="N146" s="33" t="inlineStr">
        <is>
          <t>Не автоматизирован</t>
        </is>
      </c>
      <c r="O146" s="31" t="inlineStr"/>
      <c r="P146" s="33" t="inlineStr">
        <is>
          <t>Не выполнен</t>
        </is>
      </c>
      <c r="Q146" s="31" t="inlineStr"/>
    </row>
    <row r="147" ht="34" customHeight="1">
      <c r="A147" s="30" t="inlineStr">
        <is>
          <t>PRF-007</t>
        </is>
      </c>
      <c r="B147" s="31" t="inlineStr">
        <is>
          <t>Личные данные и адреса</t>
        </is>
      </c>
      <c r="C147" s="31" t="inlineStr">
        <is>
          <t>Адреса</t>
        </is>
      </c>
      <c r="D147" s="32" t="inlineStr">
        <is>
          <t>Валидация обязательных полей адреса</t>
        </is>
      </c>
      <c r="E147" s="33" t="inlineStr">
        <is>
          <t>P2</t>
        </is>
      </c>
      <c r="F147" s="33" t="inlineStr">
        <is>
          <t>Negative</t>
        </is>
      </c>
      <c r="G147" s="31" t="inlineStr">
        <is>
          <t>Пользователь авторизован как Мастер</t>
        </is>
      </c>
      <c r="H147" s="31" t="inlineStr">
        <is>
          <t>1. «Добавить адрес»
2. Оставить пустым «Домашний адрес»</t>
        </is>
      </c>
      <c r="I147" s="31" t="inlineStr"/>
      <c r="J147" s="31" t="inlineStr">
        <is>
          <t>«Сохранить» неактивна / ошибка у обязательных полей (регион, район, домашний адрес)</t>
        </is>
      </c>
      <c r="K147" s="31" t="inlineStr"/>
      <c r="L147" s="33" t="inlineStr">
        <is>
          <t>Да</t>
        </is>
      </c>
      <c r="M147" s="31" t="inlineStr">
        <is>
          <t>Требует формы адреса (разведка)</t>
        </is>
      </c>
      <c r="N147" s="33" t="inlineStr">
        <is>
          <t>Не автоматизирован</t>
        </is>
      </c>
      <c r="O147" s="31" t="inlineStr"/>
      <c r="P147" s="33" t="inlineStr">
        <is>
          <t>Не выполнен</t>
        </is>
      </c>
      <c r="Q147" s="31" t="inlineStr"/>
    </row>
    <row r="148" ht="34" customHeight="1">
      <c r="A148" s="30" t="inlineStr">
        <is>
          <t>PRF-008</t>
        </is>
      </c>
      <c r="B148" s="31" t="inlineStr">
        <is>
          <t>Личные данные и адреса</t>
        </is>
      </c>
      <c r="C148" s="31" t="inlineStr">
        <is>
          <t>Адреса</t>
        </is>
      </c>
      <c r="D148" s="32" t="inlineStr">
        <is>
          <t>Установка основного адреса</t>
        </is>
      </c>
      <c r="E148" s="33" t="inlineStr">
        <is>
          <t>P2</t>
        </is>
      </c>
      <c r="F148" s="33" t="inlineStr">
        <is>
          <t>Functional</t>
        </is>
      </c>
      <c r="G148" s="31" t="inlineStr">
        <is>
          <t>Пользователь авторизован как Мастер</t>
        </is>
      </c>
      <c r="H148" s="31" t="inlineStr">
        <is>
          <t>1. Добавить адрес с отметкой «Установить как основной адрес»</t>
        </is>
      </c>
      <c r="I148" s="31" t="inlineStr"/>
      <c r="J148" s="31" t="inlineStr">
        <is>
          <t>Адрес помечен как основной и подставляется по умолчанию при оформлении</t>
        </is>
      </c>
      <c r="K148" s="31" t="inlineStr"/>
      <c r="L148" s="33" t="inlineStr">
        <is>
          <t>Да</t>
        </is>
      </c>
      <c r="M148" s="31" t="inlineStr">
        <is>
          <t>Меняет адреса пользователя</t>
        </is>
      </c>
      <c r="N148" s="33" t="inlineStr">
        <is>
          <t>Не автоматизирован</t>
        </is>
      </c>
      <c r="O148" s="31" t="inlineStr"/>
      <c r="P148" s="33" t="inlineStr">
        <is>
          <t>Не выполнен</t>
        </is>
      </c>
      <c r="Q148" s="31" t="inlineStr"/>
    </row>
    <row r="149" ht="48" customHeight="1">
      <c r="A149" s="30" t="inlineStr">
        <is>
          <t>PRF-009</t>
        </is>
      </c>
      <c r="B149" s="31" t="inlineStr">
        <is>
          <t>Личные данные и адреса</t>
        </is>
      </c>
      <c r="C149" s="31" t="inlineStr">
        <is>
          <t>Адреса</t>
        </is>
      </c>
      <c r="D149" s="32" t="inlineStr">
        <is>
          <t>Редактирование и удаление адреса</t>
        </is>
      </c>
      <c r="E149" s="33" t="inlineStr">
        <is>
          <t>P2</t>
        </is>
      </c>
      <c r="F149" s="33" t="inlineStr">
        <is>
          <t>Functional</t>
        </is>
      </c>
      <c r="G149" s="31" t="inlineStr">
        <is>
          <t>Пользователь авторизован как Мастер; есть тестовый адрес</t>
        </is>
      </c>
      <c r="H149" s="31" t="inlineStr">
        <is>
          <t>1. Открыть адрес
2. Изменить и сохранить
3. Удалить</t>
        </is>
      </c>
      <c r="I149" s="31" t="inlineStr"/>
      <c r="J149" s="31" t="inlineStr">
        <is>
          <t>Изменения сохранены; удалённый адрес исчез из списка</t>
        </is>
      </c>
      <c r="K149" s="31" t="inlineStr"/>
      <c r="L149" s="33" t="inlineStr">
        <is>
          <t>Да</t>
        </is>
      </c>
      <c r="M149" s="31" t="inlineStr">
        <is>
          <t>Меняет адреса пользователя</t>
        </is>
      </c>
      <c r="N149" s="33" t="inlineStr">
        <is>
          <t>Не автоматизирован</t>
        </is>
      </c>
      <c r="O149" s="31" t="inlineStr"/>
      <c r="P149" s="33" t="inlineStr">
        <is>
          <t>Не выполнен</t>
        </is>
      </c>
      <c r="Q149" s="31" t="inlineStr"/>
    </row>
    <row r="150" ht="34" customHeight="1">
      <c r="A150" s="30" t="inlineStr">
        <is>
          <t>PRF-010</t>
        </is>
      </c>
      <c r="B150" s="31" t="inlineStr">
        <is>
          <t>Личные данные и адреса</t>
        </is>
      </c>
      <c r="C150" s="31" t="inlineStr">
        <is>
          <t>Меню профиля</t>
        </is>
      </c>
      <c r="D150" s="32" t="inlineStr">
        <is>
          <t>Навигация по меню профиля</t>
        </is>
      </c>
      <c r="E150" s="33" t="inlineStr">
        <is>
          <t>P2</t>
        </is>
      </c>
      <c r="F150" s="33" t="inlineStr">
        <is>
          <t>Functional</t>
        </is>
      </c>
      <c r="G150" s="31" t="inlineStr">
        <is>
          <t>Пользователь авторизован как Мастер</t>
        </is>
      </c>
      <c r="H150" s="31" t="inlineStr">
        <is>
          <t>1. По очереди открыть все пункты меню профиля</t>
        </is>
      </c>
      <c r="I150" s="31" t="inlineStr"/>
      <c r="J150" s="31" t="inlineStr">
        <is>
          <t>Каждый пункт открывает свою страницу, активный пункт подсвечен, заголовок и крошки корректны</t>
        </is>
      </c>
      <c r="K150" s="31" t="inlineStr"/>
      <c r="L150" s="33" t="inlineStr">
        <is>
          <t>Да</t>
        </is>
      </c>
      <c r="M150" s="31" t="inlineStr"/>
      <c r="N150" s="33" t="inlineStr">
        <is>
          <t>Автоматизирован</t>
        </is>
      </c>
      <c r="O150" s="31" t="inlineStr">
        <is>
          <t>storefront/profile/ProfileTest#profileMenuNavigates
storefront/profile/ProfileTest#walletMenuItemNavigates</t>
        </is>
      </c>
      <c r="P150" s="33" t="inlineStr">
        <is>
          <t>Не выполнен</t>
        </is>
      </c>
      <c r="Q150" s="31" t="inlineStr"/>
    </row>
    <row r="151" ht="48" customHeight="1">
      <c r="A151" s="30" t="inlineStr">
        <is>
          <t>PRF-011</t>
        </is>
      </c>
      <c r="B151" s="31" t="inlineStr">
        <is>
          <t>Личные данные и адреса</t>
        </is>
      </c>
      <c r="C151" s="31" t="inlineStr">
        <is>
          <t>Удаление аккаунта</t>
        </is>
      </c>
      <c r="D151" s="32" t="inlineStr">
        <is>
          <t>Удаление заблокировано при незавершённом заказе</t>
        </is>
      </c>
      <c r="E151" s="33" t="inlineStr">
        <is>
          <t>P2</t>
        </is>
      </c>
      <c r="F151" s="33" t="inlineStr">
        <is>
          <t>Negative</t>
        </is>
      </c>
      <c r="G151" s="31" t="inlineStr">
        <is>
          <t>Пользователь авторизован как Мастер; есть незавершённый заказ</t>
        </is>
      </c>
      <c r="H151" s="31" t="inlineStr">
        <is>
          <t>1. Нажать «Удалить аккаунт»</t>
        </is>
      </c>
      <c r="I151" s="31" t="inlineStr"/>
      <c r="J151" s="31" t="inlineStr">
        <is>
          <t>Окно со списком причин (незавершённых заказов: N), кнопки удаления нет — только «Назад» и строка про поддержку; аккаунт не удалён</t>
        </is>
      </c>
      <c r="K151" s="31" t="inlineStr">
        <is>
          <t>PRD Hisobni o'chirish (AIDT-692) ACC-004–008</t>
        </is>
      </c>
      <c r="L151" s="33" t="inlineStr">
        <is>
          <t>Да</t>
        </is>
      </c>
      <c r="M151" s="31" t="inlineStr">
        <is>
          <t>Нужен незавершённый заказ</t>
        </is>
      </c>
      <c r="N151" s="33" t="inlineStr">
        <is>
          <t>Не автоматизирован</t>
        </is>
      </c>
      <c r="O151" s="31" t="inlineStr"/>
      <c r="P151" s="33" t="inlineStr">
        <is>
          <t>Не выполнен</t>
        </is>
      </c>
      <c r="Q151" s="31" t="inlineStr"/>
    </row>
    <row r="152" ht="48" customHeight="1">
      <c r="A152" s="30" t="inlineStr">
        <is>
          <t>PRF-012</t>
        </is>
      </c>
      <c r="B152" s="31" t="inlineStr">
        <is>
          <t>Личные данные и адреса</t>
        </is>
      </c>
      <c r="C152" s="31" t="inlineStr">
        <is>
          <t>Удаление аккаунта</t>
        </is>
      </c>
      <c r="D152" s="32" t="inlineStr">
        <is>
          <t>Удаление заблокировано при долге или отрицательных баллах</t>
        </is>
      </c>
      <c r="E152" s="33" t="inlineStr">
        <is>
          <t>P2</t>
        </is>
      </c>
      <c r="F152" s="33" t="inlineStr">
        <is>
          <t>Negative</t>
        </is>
      </c>
      <c r="G152" s="31" t="inlineStr">
        <is>
          <t>Пользователь авторизован как Мастер; есть неоплаченный долг и/или баллы &lt; 0</t>
        </is>
      </c>
      <c r="H152" s="31" t="inlineStr">
        <is>
          <t>1. Нажать «Удалить аккаунт»</t>
        </is>
      </c>
      <c r="I152" s="31" t="inlineStr"/>
      <c r="J152" s="31" t="inlineStr">
        <is>
          <t>Показаны все причины сразу, со значениями: долг — сумма в сумах, баллы — отрицательное значение; удаления нет</t>
        </is>
      </c>
      <c r="K152" s="31" t="inlineStr">
        <is>
          <t>PRD Hisobni o'chirish (AIDT-692) ACC-005–006</t>
        </is>
      </c>
      <c r="L152" s="33" t="inlineStr">
        <is>
          <t>Частично</t>
        </is>
      </c>
      <c r="M152" s="31" t="inlineStr">
        <is>
          <t>Нужны долг/отрицательные баллы</t>
        </is>
      </c>
      <c r="N152" s="33" t="inlineStr">
        <is>
          <t>Не автоматизирован</t>
        </is>
      </c>
      <c r="O152" s="31" t="inlineStr"/>
      <c r="P152" s="33" t="inlineStr">
        <is>
          <t>Не выполнен</t>
        </is>
      </c>
      <c r="Q152" s="31" t="inlineStr"/>
    </row>
    <row r="153" ht="62" customHeight="1">
      <c r="A153" s="30" t="inlineStr">
        <is>
          <t>PRF-013</t>
        </is>
      </c>
      <c r="B153" s="31" t="inlineStr">
        <is>
          <t>Личные данные и адреса</t>
        </is>
      </c>
      <c r="C153" s="31" t="inlineStr">
        <is>
          <t>Удаление аккаунта</t>
        </is>
      </c>
      <c r="D153" s="32" t="inlineStr">
        <is>
          <t>Окно подтверждения и отмена удаления</t>
        </is>
      </c>
      <c r="E153" s="33" t="inlineStr">
        <is>
          <t>P3</t>
        </is>
      </c>
      <c r="F153" s="33" t="inlineStr">
        <is>
          <t>Functional</t>
        </is>
      </c>
      <c r="G153" s="31" t="inlineStr">
        <is>
          <t>Пользователь авторизован как Мастер; нет долга, незавершённых заказов, баллы ≥ 0</t>
        </is>
      </c>
      <c r="H153" s="31" t="inlineStr">
        <is>
          <t>1. Нажать «Удалить аккаунт»
2. Нажать «Отмена»</t>
        </is>
      </c>
      <c r="I153" s="31" t="inlineStr"/>
      <c r="J153" s="31" t="inlineStr">
        <is>
          <t>Окно предупреждает о потере данных и истории; если баллы/кошелёк &gt; 0 — показаны суммы, которые сгорят (нулевые строки не показываются); «Отмена» — основная кнопка, аккаунт не удалён</t>
        </is>
      </c>
      <c r="K153" s="31" t="inlineStr">
        <is>
          <t>PRD Hisobni o'chirish (AIDT-692) ACC-009–013</t>
        </is>
      </c>
      <c r="L153" s="33" t="inlineStr">
        <is>
          <t>Да</t>
        </is>
      </c>
      <c r="M153" s="31" t="inlineStr">
        <is>
          <t>Только отмена!</t>
        </is>
      </c>
      <c r="N153" s="33" t="inlineStr">
        <is>
          <t>Автоматизирован</t>
        </is>
      </c>
      <c r="O153" s="31" t="inlineStr">
        <is>
          <t>storefront/profile/ProfileTest#deleteAccountDialogCanBeDismissed</t>
        </is>
      </c>
      <c r="P153" s="33" t="inlineStr">
        <is>
          <t>Не выполнен</t>
        </is>
      </c>
      <c r="Q153" s="31" t="inlineStr"/>
    </row>
    <row r="154" ht="48" customHeight="1">
      <c r="A154" s="30" t="inlineStr">
        <is>
          <t>PRF-014</t>
        </is>
      </c>
      <c r="B154" s="31" t="inlineStr">
        <is>
          <t>Личные данные и адреса</t>
        </is>
      </c>
      <c r="C154" s="31" t="inlineStr">
        <is>
          <t>Удаление аккаунта</t>
        </is>
      </c>
      <c r="D154" s="32" t="inlineStr">
        <is>
          <t>Удаление аккаунта и повторная регистрация</t>
        </is>
      </c>
      <c r="E154" s="33" t="inlineStr">
        <is>
          <t>P3</t>
        </is>
      </c>
      <c r="F154" s="33" t="inlineStr">
        <is>
          <t>Functional</t>
        </is>
      </c>
      <c r="G154" s="31" t="inlineStr">
        <is>
          <t>Отдельный одноразовый тестовый аккаунт без обязательств</t>
        </is>
      </c>
      <c r="H154" s="31" t="inlineStr">
        <is>
          <t>1. «Удалить аккаунт» → «Да, удалить»
2. Зарегистрироваться снова на тот же номер</t>
        </is>
      </c>
      <c r="I154" s="31" t="inlineStr"/>
      <c r="J154" s="31" t="inlineStr">
        <is>
          <t>Аккаунт удалён, пользователь разлогинен; новый аккаунт на тот же номер — с нулевыми баллами, кошельком и пустой историей</t>
        </is>
      </c>
      <c r="K154" s="31" t="inlineStr">
        <is>
          <t>PRD Hisobni o'chirish (AIDT-692) ACC-014–016</t>
        </is>
      </c>
      <c r="L154" s="33" t="inlineStr">
        <is>
          <t>Нет</t>
        </is>
      </c>
      <c r="M154" s="31" t="inlineStr">
        <is>
          <t>Удаление аккаунта — необратимо</t>
        </is>
      </c>
      <c r="N154" s="33" t="inlineStr">
        <is>
          <t>Не автоматизирован</t>
        </is>
      </c>
      <c r="O154" s="31" t="inlineStr"/>
      <c r="P154" s="33" t="inlineStr">
        <is>
          <t>Не выполнен</t>
        </is>
      </c>
      <c r="Q154" s="31" t="inlineStr"/>
    </row>
    <row r="155" ht="34" customHeight="1">
      <c r="A155" s="26" t="inlineStr">
        <is>
          <t>PTS-001</t>
        </is>
      </c>
      <c r="B155" s="27" t="inlineStr">
        <is>
          <t>Баллы</t>
        </is>
      </c>
      <c r="C155" s="27" t="inlineStr">
        <is>
          <t>Баллы</t>
        </is>
      </c>
      <c r="D155" s="28" t="inlineStr">
        <is>
          <t>Страница «Баллы»: баланс и таблица по месяцам</t>
        </is>
      </c>
      <c r="E155" s="29" t="inlineStr">
        <is>
          <t>P2</t>
        </is>
      </c>
      <c r="F155" s="29" t="inlineStr">
        <is>
          <t>Functional</t>
        </is>
      </c>
      <c r="G155" s="27" t="inlineStr">
        <is>
          <t>Пользователь авторизован как Мастер</t>
        </is>
      </c>
      <c r="H155" s="27" t="inlineStr">
        <is>
          <t>1. Открыть «Баллы»</t>
        </is>
      </c>
      <c r="I155" s="27" t="inlineStr"/>
      <c r="J155" s="27" t="inlineStr">
        <is>
          <t>Текущий баланс; таблица: месяц, заказов, сумма заказов, всего баллов</t>
        </is>
      </c>
      <c r="K155" s="27" t="inlineStr"/>
      <c r="L155" s="29" t="inlineStr">
        <is>
          <t>Да</t>
        </is>
      </c>
      <c r="M155" s="27" t="inlineStr">
        <is>
          <t>Страница «Баллы» (/profile/transactions) открывается (см. PRF-010); баланс и таблица — требуют разведки</t>
        </is>
      </c>
      <c r="N155" s="29" t="inlineStr">
        <is>
          <t>Не автоматизирован</t>
        </is>
      </c>
      <c r="O155" s="27" t="inlineStr"/>
      <c r="P155" s="29" t="inlineStr">
        <is>
          <t>Не выполнен</t>
        </is>
      </c>
      <c r="Q155" s="27" t="inlineStr"/>
    </row>
    <row r="156" ht="34" customHeight="1">
      <c r="A156" s="26" t="inlineStr">
        <is>
          <t>PTS-002</t>
        </is>
      </c>
      <c r="B156" s="27" t="inlineStr">
        <is>
          <t>Баллы</t>
        </is>
      </c>
      <c r="C156" s="27" t="inlineStr">
        <is>
          <t>Баллы</t>
        </is>
      </c>
      <c r="D156" s="28" t="inlineStr">
        <is>
          <t>Фильтр по месяцу и году</t>
        </is>
      </c>
      <c r="E156" s="29" t="inlineStr">
        <is>
          <t>P3</t>
        </is>
      </c>
      <c r="F156" s="29" t="inlineStr">
        <is>
          <t>Functional</t>
        </is>
      </c>
      <c r="G156" s="27" t="inlineStr">
        <is>
          <t>Пользователь авторизован как Мастер</t>
        </is>
      </c>
      <c r="H156" s="27" t="inlineStr">
        <is>
          <t>1. Сменить месяц и год</t>
        </is>
      </c>
      <c r="I156" s="27" t="inlineStr"/>
      <c r="J156" s="27" t="inlineStr">
        <is>
          <t>Данные таблицы соответствуют выбранному периоду</t>
        </is>
      </c>
      <c r="K156" s="27" t="inlineStr"/>
      <c r="L156" s="29" t="inlineStr">
        <is>
          <t>Да</t>
        </is>
      </c>
      <c r="M156" s="27" t="inlineStr">
        <is>
          <t>Требует разведки</t>
        </is>
      </c>
      <c r="N156" s="29" t="inlineStr">
        <is>
          <t>Не автоматизирован</t>
        </is>
      </c>
      <c r="O156" s="27" t="inlineStr"/>
      <c r="P156" s="29" t="inlineStr">
        <is>
          <t>Не выполнен</t>
        </is>
      </c>
      <c r="Q156" s="27" t="inlineStr"/>
    </row>
    <row r="157" ht="48" customHeight="1">
      <c r="A157" s="26" t="inlineStr">
        <is>
          <t>PTS-003</t>
        </is>
      </c>
      <c r="B157" s="27" t="inlineStr">
        <is>
          <t>Баллы</t>
        </is>
      </c>
      <c r="C157" s="27" t="inlineStr">
        <is>
          <t>Баллы</t>
        </is>
      </c>
      <c r="D157" s="28" t="inlineStr">
        <is>
          <t>Начисление 1% баллов после доставки заказа</t>
        </is>
      </c>
      <c r="E157" s="29" t="inlineStr">
        <is>
          <t>P1</t>
        </is>
      </c>
      <c r="F157" s="29" t="inlineStr">
        <is>
          <t>Integration</t>
        </is>
      </c>
      <c r="G157" s="27" t="inlineStr">
        <is>
          <t>Пользователь авторизован как Мастер; заказ переведён в «Доставлен»</t>
        </is>
      </c>
      <c r="H157" s="27" t="inlineStr">
        <is>
          <t>1. Открыть детали заказа
2. Открыть «Баллы»</t>
        </is>
      </c>
      <c r="I157" s="27" t="inlineStr">
        <is>
          <t>Заказ на 100 000 сум → 1 000 баллов</t>
        </is>
      </c>
      <c r="J157" s="27" t="inlineStr">
        <is>
          <t>В деталях заказа «Начисленные баллы» = 1% цены заказа; баланс и таблица месяца в «Баллах» увеличились на эту сумму</t>
        </is>
      </c>
      <c r="K157" s="27" t="inlineStr">
        <is>
          <t>PRD My Orders §4.5; PRD Point</t>
        </is>
      </c>
      <c r="L157" s="29" t="inlineStr">
        <is>
          <t>Частично</t>
        </is>
      </c>
      <c r="M157" s="27" t="inlineStr">
        <is>
          <t>Нужна доставка заказа и админка</t>
        </is>
      </c>
      <c r="N157" s="29" t="inlineStr">
        <is>
          <t>Не автоматизирован</t>
        </is>
      </c>
      <c r="O157" s="27" t="inlineStr"/>
      <c r="P157" s="29" t="inlineStr">
        <is>
          <t>Не выполнен</t>
        </is>
      </c>
      <c r="Q157" s="27" t="inlineStr"/>
    </row>
    <row r="158" ht="48" customHeight="1">
      <c r="A158" s="26" t="inlineStr">
        <is>
          <t>PTS-004</t>
        </is>
      </c>
      <c r="B158" s="27" t="inlineStr">
        <is>
          <t>Баллы</t>
        </is>
      </c>
      <c r="C158" s="27" t="inlineStr">
        <is>
          <t>Баллы</t>
        </is>
      </c>
      <c r="D158" s="28" t="inlineStr">
        <is>
          <t>Списание баллов при оплате баллами</t>
        </is>
      </c>
      <c r="E158" s="29" t="inlineStr">
        <is>
          <t>P2</t>
        </is>
      </c>
      <c r="F158" s="29" t="inlineStr">
        <is>
          <t>Integration</t>
        </is>
      </c>
      <c r="G158" s="27" t="inlineStr">
        <is>
          <t>Пользователь авторизован как Мастер; оформлен заказ с оплатой баллами</t>
        </is>
      </c>
      <c r="H158" s="27" t="inlineStr">
        <is>
          <t>1. Открыть «Баллы»</t>
        </is>
      </c>
      <c r="I158" s="27" t="inlineStr"/>
      <c r="J158" s="27" t="inlineStr">
        <is>
          <t>Баланс уменьшился на сумму оплаты</t>
        </is>
      </c>
      <c r="K158" s="27" t="inlineStr"/>
      <c r="L158" s="29" t="inlineStr">
        <is>
          <t>Частично</t>
        </is>
      </c>
      <c r="M158" s="27" t="inlineStr">
        <is>
          <t>Нужен заказ с оплатой баллами</t>
        </is>
      </c>
      <c r="N158" s="29" t="inlineStr">
        <is>
          <t>Не автоматизирован</t>
        </is>
      </c>
      <c r="O158" s="27" t="inlineStr"/>
      <c r="P158" s="29" t="inlineStr">
        <is>
          <t>Не выполнен</t>
        </is>
      </c>
      <c r="Q158" s="27" t="inlineStr"/>
    </row>
    <row r="159" ht="62" customHeight="1">
      <c r="A159" s="30" t="inlineStr">
        <is>
          <t>WLT-001</t>
        </is>
      </c>
      <c r="B159" s="31" t="inlineStr">
        <is>
          <t>Мой кошелёк (долг)</t>
        </is>
      </c>
      <c r="C159" s="31" t="inlineStr">
        <is>
          <t>Кошелёк</t>
        </is>
      </c>
      <c r="D159" s="32" t="inlineStr">
        <is>
          <t>Сводка «Мой кошелёк»</t>
        </is>
      </c>
      <c r="E159" s="33" t="inlineStr">
        <is>
          <t>P2</t>
        </is>
      </c>
      <c r="F159" s="33" t="inlineStr">
        <is>
          <t>Functional</t>
        </is>
      </c>
      <c r="G159" s="31" t="inlineStr">
        <is>
          <t>Пользователь авторизован как Мастер</t>
        </is>
      </c>
      <c r="H159" s="31" t="inlineStr">
        <is>
          <t>1. Открыть «Мой кошелёк»
2. Навести на иконку ⓘ у «Остаток долга»</t>
        </is>
      </c>
      <c r="I159" s="31" t="inlineStr"/>
      <c r="J159" s="31" t="inlineStr">
        <is>
          <t>«Остаток долга» = сумма неоплаченных Hamyon-заказов − баланс кошелька (не меньше 0); красная карточка «Просроченные» (видна и при 0 сум); зелёная «Кошелёк» = баланс; подсказка объясняет формулу</t>
        </is>
      </c>
      <c r="K159" s="31" t="inlineStr">
        <is>
          <t>PRD My Wallet §2, FR-02–05, FR-13</t>
        </is>
      </c>
      <c r="L159" s="33" t="inlineStr">
        <is>
          <t>Да</t>
        </is>
      </c>
      <c r="M159" s="31" t="inlineStr">
        <is>
          <t>Страница кошелька открывается (см. PRF-010); сводка — требует разведки</t>
        </is>
      </c>
      <c r="N159" s="33" t="inlineStr">
        <is>
          <t>Не автоматизирован</t>
        </is>
      </c>
      <c r="O159" s="31" t="inlineStr"/>
      <c r="P159" s="33" t="inlineStr">
        <is>
          <t>Не выполнен</t>
        </is>
      </c>
      <c r="Q159" s="31" t="inlineStr"/>
    </row>
    <row r="160" ht="90" customHeight="1">
      <c r="A160" s="30" t="inlineStr">
        <is>
          <t>WLT-002</t>
        </is>
      </c>
      <c r="B160" s="31" t="inlineStr">
        <is>
          <t>Мой кошелёк (долг)</t>
        </is>
      </c>
      <c r="C160" s="31" t="inlineStr">
        <is>
          <t>Кошелёк</t>
        </is>
      </c>
      <c r="D160" s="32" t="inlineStr">
        <is>
          <t>Список Hamyon-заказов: статусы и сортировка</t>
        </is>
      </c>
      <c r="E160" s="33" t="inlineStr">
        <is>
          <t>P1</t>
        </is>
      </c>
      <c r="F160" s="33" t="inlineStr">
        <is>
          <t>Integration</t>
        </is>
      </c>
      <c r="G160" s="31" t="inlineStr">
        <is>
          <t>Пользователь авторизован как Мастер; администратор открыл мастеру кошелёк: Debt Status = Open, Limit Summa &gt; 0, Limit Kun &gt; 0; есть Hamyon-заказы в разных статусах</t>
        </is>
      </c>
      <c r="H160" s="31" t="inlineStr">
        <is>
          <t>1. Открыть «Мой кошелёк»
2. Переключить «Все / Не оплачено / Просроченные»</t>
        </is>
      </c>
      <c r="I160" s="31" t="inlineStr"/>
      <c r="J160" s="31" t="inlineStr">
        <is>
          <t>Карточки: ID, срок (ДД месяц, ЧЧ:мм), бейдж (Просрочен — красный, Продлён — оранжевый, Не оплачен — серый, Оплачен — зелёный), сумма. Сначала просроченные, затем по ближайшему сроку, оплаченные внизу. Срок «завтра» — светло-красный фон</t>
        </is>
      </c>
      <c r="K160" s="31" t="inlineStr">
        <is>
          <t>PRD My Wallet §3–4</t>
        </is>
      </c>
      <c r="L160" s="33" t="inlineStr">
        <is>
          <t>Частично</t>
        </is>
      </c>
      <c r="M160" s="31" t="inlineStr">
        <is>
          <t>Нужны заказы в долг</t>
        </is>
      </c>
      <c r="N160" s="33" t="inlineStr">
        <is>
          <t>Не автоматизирован</t>
        </is>
      </c>
      <c r="O160" s="31" t="inlineStr"/>
      <c r="P160" s="33" t="inlineStr">
        <is>
          <t>Не выполнен</t>
        </is>
      </c>
      <c r="Q160" s="31" t="inlineStr"/>
    </row>
    <row r="161" ht="48" customHeight="1">
      <c r="A161" s="30" t="inlineStr">
        <is>
          <t>WLT-003</t>
        </is>
      </c>
      <c r="B161" s="31" t="inlineStr">
        <is>
          <t>Мой кошелёк (долг)</t>
        </is>
      </c>
      <c r="C161" s="31" t="inlineStr">
        <is>
          <t>Кошелёк</t>
        </is>
      </c>
      <c r="D161" s="32" t="inlineStr">
        <is>
          <t>Пустое состояние и переход в заказ</t>
        </is>
      </c>
      <c r="E161" s="33" t="inlineStr">
        <is>
          <t>P3</t>
        </is>
      </c>
      <c r="F161" s="33" t="inlineStr">
        <is>
          <t>UI</t>
        </is>
      </c>
      <c r="G161" s="31" t="inlineStr">
        <is>
          <t>Пользователь авторизован как Мастер</t>
        </is>
      </c>
      <c r="H161" s="31" t="inlineStr">
        <is>
          <t>1. Открыть «Мой кошелёк» без Hamyon-заказов
2. Если заказы есть — нажать на карточку</t>
        </is>
      </c>
      <c r="I161" s="31" t="inlineStr"/>
      <c r="J161" s="31" t="inlineStr">
        <is>
          <t>Пустое состояние с иконкой и понятным текстом (без ключей вроде «no_orders»); карточка открывает детали заказа</t>
        </is>
      </c>
      <c r="K161" s="31" t="inlineStr">
        <is>
          <t>PRD My Wallet FR-10, FR-12</t>
        </is>
      </c>
      <c r="L161" s="33" t="inlineStr">
        <is>
          <t>Да</t>
        </is>
      </c>
      <c r="M161" s="31" t="inlineStr">
        <is>
          <t>Нужны данные кошелька</t>
        </is>
      </c>
      <c r="N161" s="33" t="inlineStr">
        <is>
          <t>Не автоматизирован</t>
        </is>
      </c>
      <c r="O161" s="31" t="inlineStr"/>
      <c r="P161" s="33" t="inlineStr">
        <is>
          <t>Не выполнен</t>
        </is>
      </c>
      <c r="Q161" s="31" t="inlineStr"/>
    </row>
    <row r="162" ht="76" customHeight="1">
      <c r="A162" s="30" t="inlineStr">
        <is>
          <t>WLT-004</t>
        </is>
      </c>
      <c r="B162" s="31" t="inlineStr">
        <is>
          <t>Мой кошелёк (долг)</t>
        </is>
      </c>
      <c r="C162" s="31" t="inlineStr">
        <is>
          <t>Транзакции</t>
        </is>
      </c>
      <c r="D162" s="32" t="inlineStr">
        <is>
          <t>Транзакции кошелька</t>
        </is>
      </c>
      <c r="E162" s="33" t="inlineStr">
        <is>
          <t>P2</t>
        </is>
      </c>
      <c r="F162" s="33" t="inlineStr">
        <is>
          <t>Functional</t>
        </is>
      </c>
      <c r="G162" s="31" t="inlineStr">
        <is>
          <t>Пользователь авторизован как Мастер</t>
        </is>
      </c>
      <c r="H162" s="31" t="inlineStr">
        <is>
          <t>1. «Мой кошелёк» → нажать карточку «Кошелёк»
2. Задать период «От/До» и тип</t>
        </is>
      </c>
      <c r="I162" s="31" t="inlineStr"/>
      <c r="J162" s="31" t="inlineStr">
        <is>
          <t>Открыта /profile/wallet/transactions «Транзакции кошелька»: сводка Баланс / Поступления / Списания, фильтр по периоду и типу, список по датам (+ зелёным, − красным); пусто → «Транзакций нет»; «От» &gt; «До» — применить нельзя</t>
        </is>
      </c>
      <c r="K162" s="31" t="inlineStr">
        <is>
          <t>PRD Wallet transactions; Проверено на staging 28.10.2026</t>
        </is>
      </c>
      <c r="L162" s="33" t="inlineStr">
        <is>
          <t>Да</t>
        </is>
      </c>
      <c r="M162" s="31" t="inlineStr">
        <is>
          <t>Нужны данные кошелька</t>
        </is>
      </c>
      <c r="N162" s="33" t="inlineStr">
        <is>
          <t>Не автоматизирован</t>
        </is>
      </c>
      <c r="O162" s="31" t="inlineStr"/>
      <c r="P162" s="33" t="inlineStr">
        <is>
          <t>Не выполнен</t>
        </is>
      </c>
      <c r="Q162" s="31" t="inlineStr"/>
    </row>
    <row r="163" ht="34" customHeight="1">
      <c r="A163" s="30" t="inlineStr">
        <is>
          <t>WLT-005</t>
        </is>
      </c>
      <c r="B163" s="31" t="inlineStr">
        <is>
          <t>Мой кошелёк (долг)</t>
        </is>
      </c>
      <c r="C163" s="31" t="inlineStr">
        <is>
          <t>Транзакции</t>
        </is>
      </c>
      <c r="D163" s="32" t="inlineStr">
        <is>
          <t>Пополнение кошелька админом отражается у мастера</t>
        </is>
      </c>
      <c r="E163" s="33" t="inlineStr">
        <is>
          <t>P2</t>
        </is>
      </c>
      <c r="F163" s="33" t="inlineStr">
        <is>
          <t>Integration</t>
        </is>
      </c>
      <c r="G163" s="31" t="inlineStr">
        <is>
          <t>Пользователь авторизован как Мастер</t>
        </is>
      </c>
      <c r="H163" s="31" t="inlineStr">
        <is>
          <t>1. Админ пополняет кошелёк мастера на 50 000
2. Мастер открывает «Транзакции кошелька»</t>
        </is>
      </c>
      <c r="I163" s="31" t="inlineStr"/>
      <c r="J163" s="31" t="inlineStr">
        <is>
          <t>Транзакция «Пополнение кошелька» +50 000, баланс увеличился; «Остаток долга» уменьшился на эту сумму</t>
        </is>
      </c>
      <c r="K163" s="31" t="inlineStr">
        <is>
          <t>PRD Wallet transactions; PRD Wallet</t>
        </is>
      </c>
      <c r="L163" s="33" t="inlineStr">
        <is>
          <t>Частично</t>
        </is>
      </c>
      <c r="M163" s="31" t="inlineStr">
        <is>
          <t>Нужна админка (пополнение)</t>
        </is>
      </c>
      <c r="N163" s="33" t="inlineStr">
        <is>
          <t>Не автоматизирован</t>
        </is>
      </c>
      <c r="O163" s="31" t="inlineStr"/>
      <c r="P163" s="33" t="inlineStr">
        <is>
          <t>Не выполнен</t>
        </is>
      </c>
      <c r="Q163" s="31" t="inlineStr"/>
    </row>
    <row r="164" ht="90" customHeight="1">
      <c r="A164" s="30" t="inlineStr">
        <is>
          <t>WLT-006</t>
        </is>
      </c>
      <c r="B164" s="31" t="inlineStr">
        <is>
          <t>Мой кошелёк (долг)</t>
        </is>
      </c>
      <c r="C164" s="31" t="inlineStr">
        <is>
          <t>Долг</t>
        </is>
      </c>
      <c r="D164" s="32" t="inlineStr">
        <is>
          <t>Погашение и продление долга отражаются у мастера</t>
        </is>
      </c>
      <c r="E164" s="33" t="inlineStr">
        <is>
          <t>P2</t>
        </is>
      </c>
      <c r="F164" s="33" t="inlineStr">
        <is>
          <t>Integration</t>
        </is>
      </c>
      <c r="G164" s="31" t="inlineStr">
        <is>
          <t>Пользователь авторизован как Мастер; администратор открыл мастеру кошелёк: Debt Status = Open, Limit Summa &gt; 0, Limit Kun &gt; 0; есть неоплаченный Hamyon-заказ</t>
        </is>
      </c>
      <c r="H164" s="31" t="inlineStr">
        <is>
          <t>1. Админ продлевает срок — проверить статус
2. Админ гасит долг («Qarzni to'lash») — проверить</t>
        </is>
      </c>
      <c r="I164" s="31" t="inlineStr"/>
      <c r="J164" s="31" t="inlineStr">
        <is>
          <t>После продления — «Продлён» с новым сроком; после оплаты — «Оплачен», дата оплаты в деталях заказа, долг уменьшился</t>
        </is>
      </c>
      <c r="K164" s="31" t="inlineStr">
        <is>
          <t>PRD My Wallet §4; PRD Pay Debt</t>
        </is>
      </c>
      <c r="L164" s="33" t="inlineStr">
        <is>
          <t>Частично</t>
        </is>
      </c>
      <c r="M164" s="31" t="inlineStr">
        <is>
          <t>Нужна админка (долг)</t>
        </is>
      </c>
      <c r="N164" s="33" t="inlineStr">
        <is>
          <t>Не автоматизирован</t>
        </is>
      </c>
      <c r="O164" s="31" t="inlineStr"/>
      <c r="P164" s="33" t="inlineStr">
        <is>
          <t>Не выполнен</t>
        </is>
      </c>
      <c r="Q164" s="31" t="inlineStr"/>
    </row>
    <row r="165" ht="48" customHeight="1">
      <c r="A165" s="26" t="inlineStr">
        <is>
          <t>NTF-001</t>
        </is>
      </c>
      <c r="B165" s="27" t="inlineStr">
        <is>
          <t>Уведомления</t>
        </is>
      </c>
      <c r="C165" s="27" t="inlineStr">
        <is>
          <t>Уведомления</t>
        </is>
      </c>
      <c r="D165" s="28" t="inlineStr">
        <is>
          <t>Список уведомлений</t>
        </is>
      </c>
      <c r="E165" s="29" t="inlineStr">
        <is>
          <t>P2</t>
        </is>
      </c>
      <c r="F165" s="29" t="inlineStr">
        <is>
          <t>Functional</t>
        </is>
      </c>
      <c r="G165" s="27" t="inlineStr">
        <is>
          <t>Пользователь авторизован как Мастер</t>
        </is>
      </c>
      <c r="H165" s="27" t="inlineStr">
        <is>
          <t>1. Открыть «Уведомления»</t>
        </is>
      </c>
      <c r="I165" s="27" t="inlineStr"/>
      <c r="J165" s="27" t="inlineStr">
        <is>
          <t>Уведомления сгруппированы по датам («Сегодня», даты); у каждого заголовок, текст, дата и время; подгрузка по 20</t>
        </is>
      </c>
      <c r="K165" s="27" t="inlineStr">
        <is>
          <t>PRD Notifications</t>
        </is>
      </c>
      <c r="L165" s="29" t="inlineStr">
        <is>
          <t>Да</t>
        </is>
      </c>
      <c r="M165" s="27" t="inlineStr">
        <is>
          <t>Страница уведомлений открывается (см. PRF-010); содержимое — требует разведки</t>
        </is>
      </c>
      <c r="N165" s="29" t="inlineStr">
        <is>
          <t>Не автоматизирован</t>
        </is>
      </c>
      <c r="O165" s="27" t="inlineStr"/>
      <c r="P165" s="29" t="inlineStr">
        <is>
          <t>Не выполнен</t>
        </is>
      </c>
      <c r="Q165" s="27" t="inlineStr"/>
    </row>
    <row r="166" ht="48" customHeight="1">
      <c r="A166" s="26" t="inlineStr">
        <is>
          <t>NTF-002</t>
        </is>
      </c>
      <c r="B166" s="27" t="inlineStr">
        <is>
          <t>Уведомления</t>
        </is>
      </c>
      <c r="C166" s="27" t="inlineStr">
        <is>
          <t>Уведомления</t>
        </is>
      </c>
      <c r="D166" s="28" t="inlineStr">
        <is>
          <t>Уведомления о создании и отмене заказа</t>
        </is>
      </c>
      <c r="E166" s="29" t="inlineStr">
        <is>
          <t>P2</t>
        </is>
      </c>
      <c r="F166" s="29" t="inlineStr">
        <is>
          <t>Functional</t>
        </is>
      </c>
      <c r="G166" s="27" t="inlineStr">
        <is>
          <t>Пользователь авторизован как Мастер</t>
        </is>
      </c>
      <c r="H166" s="27" t="inlineStr">
        <is>
          <t>1. Оформить заказ
2. Отменить его с причиной «Заказал(а) по ошибке»
3. Открыть «Уведомления»</t>
        </is>
      </c>
      <c r="I166" s="27" t="inlineStr"/>
      <c r="J166" s="27" t="inlineStr">
        <is>
          <t>«Ваш заказ принят»; «Ваш заказ отменён.» с текстом «Вы отменили заказ. Причина: заказ оформлен по ошибке.»</t>
        </is>
      </c>
      <c r="K166" s="27" t="inlineStr">
        <is>
          <t>PRD Buyurtmani bekor qilish §6.2; Проверено на staging 28.10.2026</t>
        </is>
      </c>
      <c r="L166" s="29" t="inlineStr">
        <is>
          <t>Да</t>
        </is>
      </c>
      <c r="M166" s="27" t="inlineStr">
        <is>
          <t>Нужно создать/отменить заказ</t>
        </is>
      </c>
      <c r="N166" s="29" t="inlineStr">
        <is>
          <t>Не автоматизирован</t>
        </is>
      </c>
      <c r="O166" s="27" t="inlineStr"/>
      <c r="P166" s="29" t="inlineStr">
        <is>
          <t>Не выполнен</t>
        </is>
      </c>
      <c r="Q166" s="27" t="inlineStr"/>
    </row>
    <row r="167" ht="62" customHeight="1">
      <c r="A167" s="26" t="inlineStr">
        <is>
          <t>NTF-003</t>
        </is>
      </c>
      <c r="B167" s="27" t="inlineStr">
        <is>
          <t>Уведомления</t>
        </is>
      </c>
      <c r="C167" s="27" t="inlineStr">
        <is>
          <t>Уведомления</t>
        </is>
      </c>
      <c r="D167" s="28" t="inlineStr">
        <is>
          <t>Отмена заказа админом — уведомление с причиной</t>
        </is>
      </c>
      <c r="E167" s="29" t="inlineStr">
        <is>
          <t>P3</t>
        </is>
      </c>
      <c r="F167" s="29" t="inlineStr">
        <is>
          <t>Integration</t>
        </is>
      </c>
      <c r="G167" s="27" t="inlineStr">
        <is>
          <t>Пользователь авторизован как Мастер; админ отменил заказ с причиной «Не смогли связаться»</t>
        </is>
      </c>
      <c r="H167" s="27" t="inlineStr">
        <is>
          <t>1. Открыть «Уведомления» и детали заказа</t>
        </is>
      </c>
      <c r="I167" s="27" t="inlineStr"/>
      <c r="J167" s="27" t="inlineStr">
        <is>
          <t>«Ваш заказ отменён.» + «Заказ отменён, так как мы не смогли связаться с вами по телефону…»; та же причина в деталях заказа</t>
        </is>
      </c>
      <c r="K167" s="27" t="inlineStr">
        <is>
          <t>PRD Buyurtmani bekor qilish §6.1</t>
        </is>
      </c>
      <c r="L167" s="29" t="inlineStr">
        <is>
          <t>Частично</t>
        </is>
      </c>
      <c r="M167" s="27" t="inlineStr">
        <is>
          <t>Нужна админка</t>
        </is>
      </c>
      <c r="N167" s="29" t="inlineStr">
        <is>
          <t>Не автоматизирован</t>
        </is>
      </c>
      <c r="O167" s="27" t="inlineStr"/>
      <c r="P167" s="29" t="inlineStr">
        <is>
          <t>Не выполнен</t>
        </is>
      </c>
      <c r="Q167" s="27" t="inlineStr"/>
    </row>
    <row r="168" ht="48" customHeight="1">
      <c r="A168" s="26" t="inlineStr">
        <is>
          <t>NTF-004</t>
        </is>
      </c>
      <c r="B168" s="27" t="inlineStr">
        <is>
          <t>Уведомления</t>
        </is>
      </c>
      <c r="C168" s="27" t="inlineStr">
        <is>
          <t>Уведомления</t>
        </is>
      </c>
      <c r="D168" s="28" t="inlineStr">
        <is>
          <t>Уведомление о спецзаказе ведёт в документ</t>
        </is>
      </c>
      <c r="E168" s="29" t="inlineStr">
        <is>
          <t>P2</t>
        </is>
      </c>
      <c r="F168" s="29" t="inlineStr">
        <is>
          <t>Integration</t>
        </is>
      </c>
      <c r="G168" s="27" t="inlineStr">
        <is>
          <t>Пользователь авторизован как Мастер; админ отправил спецзаказ</t>
        </is>
      </c>
      <c r="H168" s="27" t="inlineStr">
        <is>
          <t>1. Открыть «Уведомления»
2. Нажать на уведомление спецзаказа</t>
        </is>
      </c>
      <c r="I168" s="27" t="inlineStr"/>
      <c r="J168" s="27" t="inlineStr">
        <is>
          <t>Текст: ID спецзаказа, кол-во товаров, сумма; клик открывает этот спецзаказ; если удалён — «Заказ не найден», остаёмся на странице</t>
        </is>
      </c>
      <c r="K168" s="27" t="inlineStr">
        <is>
          <t>PRD Notifications §5.2</t>
        </is>
      </c>
      <c r="L168" s="29" t="inlineStr">
        <is>
          <t>Частично</t>
        </is>
      </c>
      <c r="M168" s="27" t="inlineStr">
        <is>
          <t>Нужна админка (спецзаказ)</t>
        </is>
      </c>
      <c r="N168" s="29" t="inlineStr">
        <is>
          <t>Не автоматизирован</t>
        </is>
      </c>
      <c r="O168" s="27" t="inlineStr"/>
      <c r="P168" s="29" t="inlineStr">
        <is>
          <t>Не выполнен</t>
        </is>
      </c>
      <c r="Q168" s="27" t="inlineStr"/>
    </row>
    <row r="169" ht="90" customHeight="1">
      <c r="A169" s="26" t="inlineStr">
        <is>
          <t>NTF-005</t>
        </is>
      </c>
      <c r="B169" s="27" t="inlineStr">
        <is>
          <t>Уведомления</t>
        </is>
      </c>
      <c r="C169" s="27" t="inlineStr">
        <is>
          <t>Уведомления</t>
        </is>
      </c>
      <c r="D169" s="28" t="inlineStr">
        <is>
          <t>Напоминания о сроке долга</t>
        </is>
      </c>
      <c r="E169" s="29" t="inlineStr">
        <is>
          <t>P2</t>
        </is>
      </c>
      <c r="F169" s="29" t="inlineStr">
        <is>
          <t>Integration</t>
        </is>
      </c>
      <c r="G169" s="27" t="inlineStr">
        <is>
          <t>Пользователь авторизован как Мастер; администратор открыл мастеру кошелёк: Debt Status = Open, Limit Summa &gt; 0, Limit Kun &gt; 0; Hamyon-заказ доставлен, срок завтра</t>
        </is>
      </c>
      <c r="H169" s="27" t="inlineStr">
        <is>
          <t>1. Дождаться 09:00 дня перед сроком
2. Дождаться времени «срок − 2 часа»</t>
        </is>
      </c>
      <c r="I169" s="27" t="inlineStr"/>
      <c r="J169" s="27" t="inlineStr">
        <is>
          <t>За день в 09:00 — «Срок долга истекает завтра…»; за 2 часа — «До окончания срока долга 2 часа…»; если долг оплачен — напоминание не приходит; клик ведёт в «Мой кошелёк»</t>
        </is>
      </c>
      <c r="K169" s="27" t="inlineStr">
        <is>
          <t>PRD Notifications §5.3</t>
        </is>
      </c>
      <c r="L169" s="29" t="inlineStr">
        <is>
          <t>Нет</t>
        </is>
      </c>
      <c r="M169" s="27" t="inlineStr">
        <is>
          <t>Напоминания по таймеру — нельзя проверить автотестом</t>
        </is>
      </c>
      <c r="N169" s="29" t="inlineStr">
        <is>
          <t>Не автоматизирован</t>
        </is>
      </c>
      <c r="O169" s="27" t="inlineStr"/>
      <c r="P169" s="29" t="inlineStr">
        <is>
          <t>Не выполнен</t>
        </is>
      </c>
      <c r="Q169" s="27" t="inlineStr"/>
    </row>
    <row r="170" ht="34" customHeight="1">
      <c r="A170" s="26" t="inlineStr">
        <is>
          <t>NTF-006</t>
        </is>
      </c>
      <c r="B170" s="27" t="inlineStr">
        <is>
          <t>Уведомления</t>
        </is>
      </c>
      <c r="C170" s="27" t="inlineStr">
        <is>
          <t>Уведомления</t>
        </is>
      </c>
      <c r="D170" s="28" t="inlineStr">
        <is>
          <t>Прочитано/не прочитано и счётчик</t>
        </is>
      </c>
      <c r="E170" s="29" t="inlineStr">
        <is>
          <t>P3</t>
        </is>
      </c>
      <c r="F170" s="29" t="inlineStr">
        <is>
          <t>Functional</t>
        </is>
      </c>
      <c r="G170" s="27" t="inlineStr">
        <is>
          <t>Пользователь авторизован как Мастер; есть непрочитанные</t>
        </is>
      </c>
      <c r="H170" s="27" t="inlineStr">
        <is>
          <t>1. Посмотреть бейдж в профиле
2. Открыть «Уведомления»</t>
        </is>
      </c>
      <c r="I170" s="27" t="inlineStr"/>
      <c r="J170" s="27" t="inlineStr">
        <is>
          <t>Бейдж = числу непрочитанных; после просмотра уведомления помечаются прочитанными, бейдж уменьшается</t>
        </is>
      </c>
      <c r="K170" s="27" t="inlineStr">
        <is>
          <t>PRD Notifications §2.2</t>
        </is>
      </c>
      <c r="L170" s="29" t="inlineStr">
        <is>
          <t>Да</t>
        </is>
      </c>
      <c r="M170" s="27" t="inlineStr">
        <is>
          <t>Требует свежих уведомлений</t>
        </is>
      </c>
      <c r="N170" s="29" t="inlineStr">
        <is>
          <t>Не автоматизирован</t>
        </is>
      </c>
      <c r="O170" s="27" t="inlineStr"/>
      <c r="P170" s="29" t="inlineStr">
        <is>
          <t>Не выполнен</t>
        </is>
      </c>
      <c r="Q170" s="27" t="inlineStr"/>
    </row>
    <row r="171" ht="34" customHeight="1">
      <c r="A171" s="30" t="inlineStr">
        <is>
          <t>REQ-001</t>
        </is>
      </c>
      <c r="B171" s="31" t="inlineStr">
        <is>
          <t>Мои запросы</t>
        </is>
      </c>
      <c r="C171" s="31" t="inlineStr">
        <is>
          <t>Запросы</t>
        </is>
      </c>
      <c r="D171" s="32" t="inlineStr">
        <is>
          <t>Вкладки «Мастер» / «Hamkor» (партнёр)</t>
        </is>
      </c>
      <c r="E171" s="33" t="inlineStr">
        <is>
          <t>P2</t>
        </is>
      </c>
      <c r="F171" s="33" t="inlineStr">
        <is>
          <t>Functional</t>
        </is>
      </c>
      <c r="G171" s="31" t="inlineStr">
        <is>
          <t>Пользователь авторизован как Мастер</t>
        </is>
      </c>
      <c r="H171" s="31" t="inlineStr">
        <is>
          <t>1. Открыть «Мои запросы»
2. Переключить вкладки</t>
        </is>
      </c>
      <c r="I171" s="31" t="inlineStr"/>
      <c r="J171" s="31" t="inlineStr">
        <is>
          <t>Отображаются заявки соответствующего типа</t>
        </is>
      </c>
      <c r="K171" s="31" t="inlineStr"/>
      <c r="L171" s="33" t="inlineStr">
        <is>
          <t>Да</t>
        </is>
      </c>
      <c r="M171" s="31" t="inlineStr">
        <is>
          <t>Страница запросов открывается (см. PRF-010); вкладки — требуют разведки</t>
        </is>
      </c>
      <c r="N171" s="33" t="inlineStr">
        <is>
          <t>Не автоматизирован</t>
        </is>
      </c>
      <c r="O171" s="31" t="inlineStr"/>
      <c r="P171" s="33" t="inlineStr">
        <is>
          <t>Не выполнен</t>
        </is>
      </c>
      <c r="Q171" s="31" t="inlineStr"/>
    </row>
    <row r="172" ht="34" customHeight="1">
      <c r="A172" s="30" t="inlineStr">
        <is>
          <t>REQ-002</t>
        </is>
      </c>
      <c r="B172" s="31" t="inlineStr">
        <is>
          <t>Мои запросы</t>
        </is>
      </c>
      <c r="C172" s="31" t="inlineStr">
        <is>
          <t>Запросы</t>
        </is>
      </c>
      <c r="D172" s="32" t="inlineStr">
        <is>
          <t>Карточка заявки на статус мастера</t>
        </is>
      </c>
      <c r="E172" s="33" t="inlineStr">
        <is>
          <t>P2</t>
        </is>
      </c>
      <c r="F172" s="33" t="inlineStr">
        <is>
          <t>UI</t>
        </is>
      </c>
      <c r="G172" s="31" t="inlineStr">
        <is>
          <t>Пользователь авторизован как Мастер</t>
        </is>
      </c>
      <c r="H172" s="31" t="inlineStr">
        <is>
          <t>1. Открыть вкладку «Мастер»</t>
        </is>
      </c>
      <c r="I172" s="31" t="inlineStr"/>
      <c r="J172" s="31" t="inlineStr">
        <is>
          <t>ID заявки, тип «Разрешение мастера», телефон, заявитель, статус заявки</t>
        </is>
      </c>
      <c r="K172" s="31" t="inlineStr"/>
      <c r="L172" s="33" t="inlineStr">
        <is>
          <t>Да</t>
        </is>
      </c>
      <c r="M172" s="31" t="inlineStr">
        <is>
          <t>Требует разведки</t>
        </is>
      </c>
      <c r="N172" s="33" t="inlineStr">
        <is>
          <t>Не автоматизирован</t>
        </is>
      </c>
      <c r="O172" s="31" t="inlineStr"/>
      <c r="P172" s="33" t="inlineStr">
        <is>
          <t>Не выполнен</t>
        </is>
      </c>
      <c r="Q172" s="31" t="inlineStr"/>
    </row>
    <row r="173" ht="34" customHeight="1">
      <c r="A173" s="30" t="inlineStr">
        <is>
          <t>REQ-003</t>
        </is>
      </c>
      <c r="B173" s="31" t="inlineStr">
        <is>
          <t>Мои запросы</t>
        </is>
      </c>
      <c r="C173" s="31" t="inlineStr">
        <is>
          <t>Запросы</t>
        </is>
      </c>
      <c r="D173" s="32" t="inlineStr">
        <is>
          <t>Заявка «Хочу стать бизнес-партнёром»</t>
        </is>
      </c>
      <c r="E173" s="33" t="inlineStr">
        <is>
          <t>P3</t>
        </is>
      </c>
      <c r="F173" s="33" t="inlineStr">
        <is>
          <t>Functional</t>
        </is>
      </c>
      <c r="G173" s="31" t="inlineStr">
        <is>
          <t>Пользователь авторизован как Мастер</t>
        </is>
      </c>
      <c r="H173" s="31" t="inlineStr">
        <is>
          <t>1. Подать заявку на партнёрство
2. Открыть вкладку «Hamkor»</t>
        </is>
      </c>
      <c r="I173" s="31" t="inlineStr"/>
      <c r="J173" s="31" t="inlineStr">
        <is>
          <t>Заявка создана в статусе «Запрошен»; до одобрения цены и роль не меняются</t>
        </is>
      </c>
      <c r="K173" s="31" t="inlineStr">
        <is>
          <t>PRD Mijoz rollari (narx turi) MR-B3</t>
        </is>
      </c>
      <c r="L173" s="33" t="inlineStr">
        <is>
          <t>Частично</t>
        </is>
      </c>
      <c r="M173" s="31" t="inlineStr">
        <is>
          <t>Отправляет заявку — вручную</t>
        </is>
      </c>
      <c r="N173" s="33" t="inlineStr">
        <is>
          <t>Не автоматизирован</t>
        </is>
      </c>
      <c r="O173" s="31" t="inlineStr"/>
      <c r="P173" s="33" t="inlineStr">
        <is>
          <t>Не выполнен</t>
        </is>
      </c>
      <c r="Q173" s="31" t="inlineStr"/>
    </row>
    <row r="174" ht="48" customHeight="1">
      <c r="A174" s="30" t="inlineStr">
        <is>
          <t>REQ-004</t>
        </is>
      </c>
      <c r="B174" s="31" t="inlineStr">
        <is>
          <t>Мои запросы</t>
        </is>
      </c>
      <c r="C174" s="31" t="inlineStr">
        <is>
          <t>Запросы</t>
        </is>
      </c>
      <c r="D174" s="32" t="inlineStr">
        <is>
          <t>Одобрение заявки меняет роль и цены</t>
        </is>
      </c>
      <c r="E174" s="33" t="inlineStr">
        <is>
          <t>P2</t>
        </is>
      </c>
      <c r="F174" s="33" t="inlineStr">
        <is>
          <t>Integration</t>
        </is>
      </c>
      <c r="G174" s="31" t="inlineStr">
        <is>
          <t>Тестовый клиент (B2C) подал заявку «Мастер»</t>
        </is>
      </c>
      <c r="H174" s="31" t="inlineStr">
        <is>
          <t>1. Админ одобряет заявку и выбирает роль B2M
2. Клиент обновляет каталог и корзину</t>
        </is>
      </c>
      <c r="I174" s="31" t="inlineStr"/>
      <c r="J174" s="31" t="inlineStr">
        <is>
          <t>Статус заявки обновлён; цены сразу B2M в каталоге, карточке, корзине; уже созданные заказы не пересчитываются</t>
        </is>
      </c>
      <c r="K174" s="31" t="inlineStr">
        <is>
          <t>PRD Mijoz rollari (narx turi) MR-B3, MR-B6, MR-N4</t>
        </is>
      </c>
      <c r="L174" s="33" t="inlineStr">
        <is>
          <t>Частично</t>
        </is>
      </c>
      <c r="M174" s="31" t="inlineStr">
        <is>
          <t>Нужна админка</t>
        </is>
      </c>
      <c r="N174" s="33" t="inlineStr">
        <is>
          <t>Не автоматизирован</t>
        </is>
      </c>
      <c r="O174" s="31" t="inlineStr"/>
      <c r="P174" s="33" t="inlineStr">
        <is>
          <t>Не выполнен</t>
        </is>
      </c>
      <c r="Q174" s="31" t="inlineStr"/>
    </row>
    <row r="175" ht="48" customHeight="1">
      <c r="A175" s="26" t="inlineStr">
        <is>
          <t>SPC-001</t>
        </is>
      </c>
      <c r="B175" s="27" t="inlineStr">
        <is>
          <t>Спецзаказ</t>
        </is>
      </c>
      <c r="C175" s="27" t="inlineStr">
        <is>
          <t>Спецзаказ</t>
        </is>
      </c>
      <c r="D175" s="28" t="inlineStr">
        <is>
          <t>Вкладки «Новинка» / «Архив» и пустое состояние</t>
        </is>
      </c>
      <c r="E175" s="29" t="inlineStr">
        <is>
          <t>P3</t>
        </is>
      </c>
      <c r="F175" s="29" t="inlineStr">
        <is>
          <t>UI</t>
        </is>
      </c>
      <c r="G175" s="27" t="inlineStr">
        <is>
          <t>Пользователь авторизован как Мастер</t>
        </is>
      </c>
      <c r="H175" s="27" t="inlineStr">
        <is>
          <t>1. Открыть «Спецзаказ»
2. Переключить вкладки</t>
        </is>
      </c>
      <c r="I175" s="27" t="inlineStr"/>
      <c r="J175" s="27" t="inlineStr">
        <is>
          <t>Без документов — «Ваши заказы недоступны»; в «Новинке» видны только отправленные (не черновики) документы</t>
        </is>
      </c>
      <c r="K175" s="27" t="inlineStr">
        <is>
          <t>PRD Sales window SW-CUS-001</t>
        </is>
      </c>
      <c r="L175" s="29" t="inlineStr">
        <is>
          <t>Да</t>
        </is>
      </c>
      <c r="M175" s="27" t="inlineStr">
        <is>
          <t>Страница спецзаказа открывается (см. PRF-010); вкладки — требуют разведки</t>
        </is>
      </c>
      <c r="N175" s="29" t="inlineStr">
        <is>
          <t>Не автоматизирован</t>
        </is>
      </c>
      <c r="O175" s="27" t="inlineStr"/>
      <c r="P175" s="29" t="inlineStr">
        <is>
          <t>Не выполнен</t>
        </is>
      </c>
      <c r="Q175" s="27" t="inlineStr"/>
    </row>
    <row r="176" ht="62" customHeight="1">
      <c r="A176" s="26" t="inlineStr">
        <is>
          <t>SPC-002</t>
        </is>
      </c>
      <c r="B176" s="27" t="inlineStr">
        <is>
          <t>Спецзаказ</t>
        </is>
      </c>
      <c r="C176" s="27" t="inlineStr">
        <is>
          <t>Спецзаказ</t>
        </is>
      </c>
      <c r="D176" s="28" t="inlineStr">
        <is>
          <t>Подтверждение спецзаказа создаёт заказ</t>
        </is>
      </c>
      <c r="E176" s="29" t="inlineStr">
        <is>
          <t>P1</t>
        </is>
      </c>
      <c r="F176" s="29" t="inlineStr">
        <is>
          <t>Integration</t>
        </is>
      </c>
      <c r="G176" s="27" t="inlineStr">
        <is>
          <t>Пользователь авторизован как Мастер; админ отправил мастеру спецзаказ (Sotuv oynasi)</t>
        </is>
      </c>
      <c r="H176" s="27" t="inlineStr">
        <is>
          <t>1. Открыть спецзаказ в «Новинка»
2. Выбрать оплату, доставку, адрес (и срок для Hamyon)
3. Подтвердить</t>
        </is>
      </c>
      <c r="I176" s="27" t="inlineStr"/>
      <c r="J176" s="27" t="inlineStr">
        <is>
          <t>Создан обычный заказ из позиций документа (виден в «Мои заказы»); документ — «Принят», переходит в «Архив». Если админ зафиксировал способ оплаты — выбрать другой нельзя</t>
        </is>
      </c>
      <c r="K176" s="27" t="inlineStr">
        <is>
          <t>PRD Sales window SW-CUS-003, SW-PAY-001</t>
        </is>
      </c>
      <c r="L176" s="29" t="inlineStr">
        <is>
          <t>Частично</t>
        </is>
      </c>
      <c r="M176" s="27" t="inlineStr">
        <is>
          <t>Нужна админка и создаёт заказ</t>
        </is>
      </c>
      <c r="N176" s="29" t="inlineStr">
        <is>
          <t>Не автоматизирован</t>
        </is>
      </c>
      <c r="O176" s="27" t="inlineStr"/>
      <c r="P176" s="29" t="inlineStr">
        <is>
          <t>Не выполнен</t>
        </is>
      </c>
      <c r="Q176" s="27" t="inlineStr"/>
    </row>
    <row r="177" ht="48" customHeight="1">
      <c r="A177" s="26" t="inlineStr">
        <is>
          <t>SPC-003</t>
        </is>
      </c>
      <c r="B177" s="27" t="inlineStr">
        <is>
          <t>Спецзаказ</t>
        </is>
      </c>
      <c r="C177" s="27" t="inlineStr">
        <is>
          <t>Спецзаказ</t>
        </is>
      </c>
      <c r="D177" s="28" t="inlineStr">
        <is>
          <t>Возврат (отказ) от спецзаказа</t>
        </is>
      </c>
      <c r="E177" s="29" t="inlineStr">
        <is>
          <t>P2</t>
        </is>
      </c>
      <c r="F177" s="29" t="inlineStr">
        <is>
          <t>Integration</t>
        </is>
      </c>
      <c r="G177" s="27" t="inlineStr">
        <is>
          <t>Пользователь авторизован как Мастер; есть отправленный спецзаказ</t>
        </is>
      </c>
      <c r="H177" s="27" t="inlineStr">
        <is>
          <t>1. Открыть спецзаказ
2. Нажать «Вернуть»</t>
        </is>
      </c>
      <c r="I177" s="27" t="inlineStr"/>
      <c r="J177" s="27" t="inlineStr">
        <is>
          <t>Статус «Возвращён», документ уходит из «Новинки»; подтвердить его больше нельзя, пока админ не отправит снова</t>
        </is>
      </c>
      <c r="K177" s="27" t="inlineStr">
        <is>
          <t>PRD Sales window SW-CUS-002</t>
        </is>
      </c>
      <c r="L177" s="29" t="inlineStr">
        <is>
          <t>Частично</t>
        </is>
      </c>
      <c r="M177" s="27" t="inlineStr">
        <is>
          <t>Нужна админка</t>
        </is>
      </c>
      <c r="N177" s="29" t="inlineStr">
        <is>
          <t>Не автоматизирован</t>
        </is>
      </c>
      <c r="O177" s="27" t="inlineStr"/>
      <c r="P177" s="29" t="inlineStr">
        <is>
          <t>Не выполнен</t>
        </is>
      </c>
      <c r="Q177" s="27" t="inlineStr"/>
    </row>
    <row r="178" ht="48" customHeight="1">
      <c r="A178" s="26" t="inlineStr">
        <is>
          <t>SPC-004</t>
        </is>
      </c>
      <c r="B178" s="27" t="inlineStr">
        <is>
          <t>Спецзаказ</t>
        </is>
      </c>
      <c r="C178" s="27" t="inlineStr">
        <is>
          <t>Спецзаказ</t>
        </is>
      </c>
      <c r="D178" s="28" t="inlineStr">
        <is>
          <t>Автовозврат предложения по таймеру</t>
        </is>
      </c>
      <c r="E178" s="29" t="inlineStr">
        <is>
          <t>P3</t>
        </is>
      </c>
      <c r="F178" s="29" t="inlineStr">
        <is>
          <t>Integration</t>
        </is>
      </c>
      <c r="G178" s="27" t="inlineStr">
        <is>
          <t>Пользователь авторизован как Мастер; админ отправил спецзаказ с типом «Предложение»</t>
        </is>
      </c>
      <c r="H178" s="27" t="inlineStr">
        <is>
          <t>1. Не подтверждать до истечения таймера</t>
        </is>
      </c>
      <c r="I178" s="27" t="inlineStr"/>
      <c r="J178" s="27" t="inlineStr">
        <is>
          <t>По истечении времени документ автоматически возвращается; документы «Передан» ждут без таймера</t>
        </is>
      </c>
      <c r="K178" s="27" t="inlineStr">
        <is>
          <t>PRD Sales window §10</t>
        </is>
      </c>
      <c r="L178" s="29" t="inlineStr">
        <is>
          <t>Нет</t>
        </is>
      </c>
      <c r="M178" s="27" t="inlineStr">
        <is>
          <t>Таймер — нельзя проверить автотестом</t>
        </is>
      </c>
      <c r="N178" s="29" t="inlineStr">
        <is>
          <t>Не автоматизирован</t>
        </is>
      </c>
      <c r="O178" s="27" t="inlineStr"/>
      <c r="P178" s="29" t="inlineStr">
        <is>
          <t>Не выполнен</t>
        </is>
      </c>
      <c r="Q178" s="27" t="inlineStr"/>
    </row>
    <row r="179" ht="48" customHeight="1">
      <c r="A179" s="30" t="inlineStr">
        <is>
          <t>MST-001</t>
        </is>
      </c>
      <c r="B179" s="31" t="inlineStr">
        <is>
          <t>Особенности роли «Мастер»</t>
        </is>
      </c>
      <c r="C179" s="31" t="inlineStr">
        <is>
          <t>Цены</t>
        </is>
      </c>
      <c r="D179" s="32" t="inlineStr">
        <is>
          <t>Мастер видит цену B2M</t>
        </is>
      </c>
      <c r="E179" s="33" t="inlineStr">
        <is>
          <t>P1</t>
        </is>
      </c>
      <c r="F179" s="33" t="inlineStr">
        <is>
          <t>Functional</t>
        </is>
      </c>
      <c r="G179" s="31" t="inlineStr">
        <is>
          <t>Пользователь авторизован как Мастер; у товара в админке разные цены B2C / B2M / B2B</t>
        </is>
      </c>
      <c r="H179" s="31" t="inlineStr">
        <is>
          <t>1. Открыть товар в каталоге и на странице товара</t>
        </is>
      </c>
      <c r="I179" s="31" t="inlineStr">
        <is>
          <t>Пример: B2C 30 000, B2M 25 000</t>
        </is>
      </c>
      <c r="J179" s="31" t="inlineStr">
        <is>
          <t>Основная цена = B2M (25 000); цена B2C (30 000) зачёркнута рядом — только если B2M ниже; если B2M ≥ B2C, зачёркнутой цены нет</t>
        </is>
      </c>
      <c r="K179" s="31" t="inlineStr">
        <is>
          <t>PRD Mijoz rollari (narx turi) §5, MR-N5</t>
        </is>
      </c>
      <c r="L179" s="33" t="inlineStr">
        <is>
          <t>Частично</t>
        </is>
      </c>
      <c r="M179" s="31" t="inlineStr">
        <is>
          <t>Нужен второй аккаунт (B2C) для сравнения цен</t>
        </is>
      </c>
      <c r="N179" s="33" t="inlineStr">
        <is>
          <t>Не автоматизирован</t>
        </is>
      </c>
      <c r="O179" s="31" t="inlineStr"/>
      <c r="P179" s="33" t="inlineStr">
        <is>
          <t>Не выполнен</t>
        </is>
      </c>
      <c r="Q179" s="31" t="inlineStr"/>
    </row>
    <row r="180" ht="48" customHeight="1">
      <c r="A180" s="30" t="inlineStr">
        <is>
          <t>MST-002</t>
        </is>
      </c>
      <c r="B180" s="31" t="inlineStr">
        <is>
          <t>Особенности роли «Мастер»</t>
        </is>
      </c>
      <c r="C180" s="31" t="inlineStr">
        <is>
          <t>Цены</t>
        </is>
      </c>
      <c r="D180" s="32" t="inlineStr">
        <is>
          <t>Одна и та же цена мастера везде</t>
        </is>
      </c>
      <c r="E180" s="33" t="inlineStr">
        <is>
          <t>P1</t>
        </is>
      </c>
      <c r="F180" s="33" t="inlineStr">
        <is>
          <t>Functional</t>
        </is>
      </c>
      <c r="G180" s="31" t="inlineStr">
        <is>
          <t>Пользователь авторизован как Мастер</t>
        </is>
      </c>
      <c r="H180" s="31" t="inlineStr">
        <is>
          <t>1. Запомнить цену товара в каталоге
2. Сверить в поиске, карточке, корзине, оформлении и деталях заказа</t>
        </is>
      </c>
      <c r="I180" s="31" t="inlineStr"/>
      <c r="J180" s="31" t="inlineStr">
        <is>
          <t>Цена одинакова на всех экранах; в заказе позиция сохраняется по цене B2M («кол-во × цена»)</t>
        </is>
      </c>
      <c r="K180" s="31" t="inlineStr">
        <is>
          <t>PRD Mijoz rollari (narx turi) MR-N1, MR-N3</t>
        </is>
      </c>
      <c r="L180" s="33" t="inlineStr">
        <is>
          <t>Да</t>
        </is>
      </c>
      <c r="M180" s="31" t="inlineStr">
        <is>
          <t>Требует сверки цен между страницами — отдельная разведка</t>
        </is>
      </c>
      <c r="N180" s="33" t="inlineStr">
        <is>
          <t>Не автоматизирован</t>
        </is>
      </c>
      <c r="O180" s="31" t="inlineStr"/>
      <c r="P180" s="33" t="inlineStr">
        <is>
          <t>Не выполнен</t>
        </is>
      </c>
      <c r="Q180" s="31" t="inlineStr"/>
    </row>
    <row r="181" ht="34" customHeight="1">
      <c r="A181" s="30" t="inlineStr">
        <is>
          <t>MST-003</t>
        </is>
      </c>
      <c r="B181" s="31" t="inlineStr">
        <is>
          <t>Особенности роли «Мастер»</t>
        </is>
      </c>
      <c r="C181" s="31" t="inlineStr">
        <is>
          <t>Цены</t>
        </is>
      </c>
      <c r="D181" s="32" t="inlineStr">
        <is>
          <t>Цена мастера и B2C-клиента различаются</t>
        </is>
      </c>
      <c r="E181" s="33" t="inlineStr">
        <is>
          <t>P1</t>
        </is>
      </c>
      <c r="F181" s="33" t="inlineStr">
        <is>
          <t>Functional</t>
        </is>
      </c>
      <c r="G181" s="31" t="inlineStr">
        <is>
          <t>Есть тестовые аккаунты Клиент (B2C) и Мастер</t>
        </is>
      </c>
      <c r="H181" s="31" t="inlineStr">
        <is>
          <t>1. Открыть один товар под Клиентом
2. Под Мастером</t>
        </is>
      </c>
      <c r="I181" s="31" t="inlineStr"/>
      <c r="J181" s="31" t="inlineStr">
        <is>
          <t>Клиент видит B2C, мастер — B2M; у мастера при B2M &lt; B2C цена B2C зачёркнута</t>
        </is>
      </c>
      <c r="K181" s="31" t="inlineStr">
        <is>
          <t>PRD Mijoz rollari (narx turi)</t>
        </is>
      </c>
      <c r="L181" s="33" t="inlineStr">
        <is>
          <t>Частично</t>
        </is>
      </c>
      <c r="M181" s="31" t="inlineStr">
        <is>
          <t>Нужен второй аккаунт (B2C)</t>
        </is>
      </c>
      <c r="N181" s="33" t="inlineStr">
        <is>
          <t>Не автоматизирован</t>
        </is>
      </c>
      <c r="O181" s="31" t="inlineStr"/>
      <c r="P181" s="33" t="inlineStr">
        <is>
          <t>Не выполнен</t>
        </is>
      </c>
      <c r="Q181" s="31" t="inlineStr"/>
    </row>
    <row r="182" ht="34" customHeight="1">
      <c r="A182" s="30" t="inlineStr">
        <is>
          <t>MST-004</t>
        </is>
      </c>
      <c r="B182" s="31" t="inlineStr">
        <is>
          <t>Особенности роли «Мастер»</t>
        </is>
      </c>
      <c r="C182" s="31" t="inlineStr">
        <is>
          <t>Цены</t>
        </is>
      </c>
      <c r="D182" s="32" t="inlineStr">
        <is>
          <t>Фильтр и сортировка по цене — по цене мастера</t>
        </is>
      </c>
      <c r="E182" s="33" t="inlineStr">
        <is>
          <t>P2</t>
        </is>
      </c>
      <c r="F182" s="33" t="inlineStr">
        <is>
          <t>Functional</t>
        </is>
      </c>
      <c r="G182" s="31" t="inlineStr">
        <is>
          <t>Пользователь авторизован как Мастер</t>
        </is>
      </c>
      <c r="H182" s="31" t="inlineStr">
        <is>
          <t>1. В категории задать фильтр цены
2. Отсортировать «Сначала дешевые»</t>
        </is>
      </c>
      <c r="I182" s="31" t="inlineStr"/>
      <c r="J182" s="31" t="inlineStr">
        <is>
          <t>Фильтр и сортировка работают по фактической (B2M) цене, которую видит мастер</t>
        </is>
      </c>
      <c r="K182" s="31" t="inlineStr">
        <is>
          <t>PRD Mijoz rollari (narx turi) MR-N2</t>
        </is>
      </c>
      <c r="L182" s="33" t="inlineStr">
        <is>
          <t>Да</t>
        </is>
      </c>
      <c r="M182" s="31" t="inlineStr">
        <is>
          <t>Требует аккаунта с разными ценами</t>
        </is>
      </c>
      <c r="N182" s="33" t="inlineStr">
        <is>
          <t>Не автоматизирован</t>
        </is>
      </c>
      <c r="O182" s="31" t="inlineStr"/>
      <c r="P182" s="33" t="inlineStr">
        <is>
          <t>Не выполнен</t>
        </is>
      </c>
      <c r="Q182" s="31" t="inlineStr"/>
    </row>
    <row r="183" ht="48" customHeight="1">
      <c r="A183" s="30" t="inlineStr">
        <is>
          <t>MST-005</t>
        </is>
      </c>
      <c r="B183" s="31" t="inlineStr">
        <is>
          <t>Особенности роли «Мастер»</t>
        </is>
      </c>
      <c r="C183" s="31" t="inlineStr">
        <is>
          <t>Цены</t>
        </is>
      </c>
      <c r="D183" s="32" t="inlineStr">
        <is>
          <t>Смена роли сразу меняет цены, заказы не пересчитываются</t>
        </is>
      </c>
      <c r="E183" s="33" t="inlineStr">
        <is>
          <t>P2</t>
        </is>
      </c>
      <c r="F183" s="33" t="inlineStr">
        <is>
          <t>Integration</t>
        </is>
      </c>
      <c r="G183" s="31" t="inlineStr">
        <is>
          <t>Тестовый аккаунт; есть открытый заказ и товары в корзине</t>
        </is>
      </c>
      <c r="H183" s="31" t="inlineStr">
        <is>
          <t>1. Админ меняет роль B2M → B2C
2. Обновить каталог и корзину
3. Открыть открытый заказ</t>
        </is>
      </c>
      <c r="I183" s="31" t="inlineStr"/>
      <c r="J183" s="31" t="inlineStr">
        <is>
          <t>Каталог и корзина сразу в новых ценах; цены открытого заказа не изменились</t>
        </is>
      </c>
      <c r="K183" s="31" t="inlineStr">
        <is>
          <t>PRD Mijoz rollari (narx turi) MR-B6, MR-N4</t>
        </is>
      </c>
      <c r="L183" s="33" t="inlineStr">
        <is>
          <t>Частично</t>
        </is>
      </c>
      <c r="M183" s="31" t="inlineStr">
        <is>
          <t>Нужна админка (смена роли)</t>
        </is>
      </c>
      <c r="N183" s="33" t="inlineStr">
        <is>
          <t>Не автоматизирован</t>
        </is>
      </c>
      <c r="O183" s="31" t="inlineStr"/>
      <c r="P183" s="33" t="inlineStr">
        <is>
          <t>Не выполнен</t>
        </is>
      </c>
      <c r="Q183" s="31" t="inlineStr"/>
    </row>
    <row r="184" ht="76" customHeight="1">
      <c r="A184" s="30" t="inlineStr">
        <is>
          <t>MST-006</t>
        </is>
      </c>
      <c r="B184" s="31" t="inlineStr">
        <is>
          <t>Особенности роли «Мастер»</t>
        </is>
      </c>
      <c r="C184" s="31" t="inlineStr">
        <is>
          <t>Долг</t>
        </is>
      </c>
      <c r="D184" s="32" t="inlineStr">
        <is>
          <t>Hamyon доступен мастеру в пределах лимита</t>
        </is>
      </c>
      <c r="E184" s="33" t="inlineStr">
        <is>
          <t>P1</t>
        </is>
      </c>
      <c r="F184" s="33" t="inlineStr">
        <is>
          <t>Functional</t>
        </is>
      </c>
      <c r="G184" s="31" t="inlineStr">
        <is>
          <t>Пользователь авторизован как Мастер; администратор открыл мастеру кошелёк: Debt Status = Open, Limit Summa &gt; 0, Limit Kun &gt; 0</t>
        </is>
      </c>
      <c r="H184" s="31" t="inlineStr">
        <is>
          <t>1. Открыть оформление</t>
        </is>
      </c>
      <c r="I184" s="31" t="inlineStr">
        <is>
          <t>Лимит мастера: до 20 000 000 сум, до 15 дней</t>
        </is>
      </c>
      <c r="J184" s="31" t="inlineStr">
        <is>
          <t>Плитка Hamyon доступна; срок долга выбирается в пределах Limit Kun</t>
        </is>
      </c>
      <c r="K184" s="31" t="inlineStr">
        <is>
          <t>PRD Debt Limit (B2B/B2M) §3–4</t>
        </is>
      </c>
      <c r="L184" s="33" t="inlineStr">
        <is>
          <t>Частично</t>
        </is>
      </c>
      <c r="M184" s="31" t="inlineStr">
        <is>
          <t>Нужны данные кошелька</t>
        </is>
      </c>
      <c r="N184" s="33" t="inlineStr">
        <is>
          <t>Не автоматизирован</t>
        </is>
      </c>
      <c r="O184" s="31" t="inlineStr"/>
      <c r="P184" s="33" t="inlineStr">
        <is>
          <t>Не выполнен</t>
        </is>
      </c>
      <c r="Q184" s="31" t="inlineStr"/>
    </row>
    <row r="185" ht="48" customHeight="1">
      <c r="A185" s="26" t="inlineStr">
        <is>
          <t>L10N-001</t>
        </is>
      </c>
      <c r="B185" s="27" t="inlineStr">
        <is>
          <t>Локализация</t>
        </is>
      </c>
      <c r="C185" s="27" t="inlineStr">
        <is>
          <t>Язык</t>
        </is>
      </c>
      <c r="D185" s="28" t="inlineStr">
        <is>
          <t>Переключение языка Oʻz / Ru / En</t>
        </is>
      </c>
      <c r="E185" s="29" t="inlineStr">
        <is>
          <t>P2</t>
        </is>
      </c>
      <c r="F185" s="29" t="inlineStr">
        <is>
          <t>Functional</t>
        </is>
      </c>
      <c r="G185" s="27" t="inlineStr">
        <is>
          <t>Пользователь авторизован как Мастер</t>
        </is>
      </c>
      <c r="H185" s="27" t="inlineStr">
        <is>
          <t>1. Нажать переключатель языка
2. Выбрать Oʻz, затем En, затем Ru</t>
        </is>
      </c>
      <c r="I185" s="27" t="inlineStr"/>
      <c r="J185" s="27" t="inlineStr">
        <is>
          <t>Интерфейс полностью на выбранном языке; префикс URL меняется (/uz, /en, /ru); текущая страница сохраняется</t>
        </is>
      </c>
      <c r="K185" s="27" t="inlineStr"/>
      <c r="L185" s="29" t="inlineStr">
        <is>
          <t>Да</t>
        </is>
      </c>
      <c r="M185" s="27" t="inlineStr">
        <is>
          <t>Проверено переключение Ru → En; Oʻz — вручную</t>
        </is>
      </c>
      <c r="N185" s="29" t="inlineStr">
        <is>
          <t>Частично автоматизирован</t>
        </is>
      </c>
      <c r="O185" s="27" t="inlineStr">
        <is>
          <t>storefront/l10n/LocalizationTest#languageSwitcherChangesLanguage</t>
        </is>
      </c>
      <c r="P185" s="29" t="inlineStr">
        <is>
          <t>Не выполнен</t>
        </is>
      </c>
      <c r="Q185" s="27" t="inlineStr"/>
    </row>
    <row r="186" ht="48" customHeight="1">
      <c r="A186" s="26" t="inlineStr">
        <is>
          <t>L10N-002</t>
        </is>
      </c>
      <c r="B186" s="27" t="inlineStr">
        <is>
          <t>Локализация</t>
        </is>
      </c>
      <c r="C186" s="27" t="inlineStr">
        <is>
          <t>Язык</t>
        </is>
      </c>
      <c r="D186" s="28" t="inlineStr">
        <is>
          <t>Язык сохраняется при навигации и перезагрузке</t>
        </is>
      </c>
      <c r="E186" s="29" t="inlineStr">
        <is>
          <t>P2</t>
        </is>
      </c>
      <c r="F186" s="29" t="inlineStr">
        <is>
          <t>Functional</t>
        </is>
      </c>
      <c r="G186" s="27" t="inlineStr">
        <is>
          <t>Пользователь авторизован как Мастер</t>
        </is>
      </c>
      <c r="H186" s="27" t="inlineStr">
        <is>
          <t>1. Выбрать En
2. Перейти по нескольким страницам
3. Обновить</t>
        </is>
      </c>
      <c r="I186" s="27" t="inlineStr"/>
      <c r="J186" s="27" t="inlineStr">
        <is>
          <t>Язык остаётся English</t>
        </is>
      </c>
      <c r="K186" s="27" t="inlineStr"/>
      <c r="L186" s="29" t="inlineStr">
        <is>
          <t>Да</t>
        </is>
      </c>
      <c r="M186" s="27" t="inlineStr"/>
      <c r="N186" s="29" t="inlineStr">
        <is>
          <t>Автоматизирован</t>
        </is>
      </c>
      <c r="O186" s="27" t="inlineStr">
        <is>
          <t>storefront/l10n/LocalizationTest#selectedLanguageIsKept</t>
        </is>
      </c>
      <c r="P186" s="29" t="inlineStr">
        <is>
          <t>Не выполнен</t>
        </is>
      </c>
      <c r="Q186" s="27" t="inlineStr"/>
    </row>
    <row r="187" ht="34" customHeight="1">
      <c r="A187" s="26" t="inlineStr">
        <is>
          <t>L10N-003</t>
        </is>
      </c>
      <c r="B187" s="27" t="inlineStr">
        <is>
          <t>Локализация</t>
        </is>
      </c>
      <c r="C187" s="27" t="inlineStr">
        <is>
          <t>Переводы</t>
        </is>
      </c>
      <c r="D187" s="28" t="inlineStr">
        <is>
          <t>Отсутствие непереведённых строк и технических ключей</t>
        </is>
      </c>
      <c r="E187" s="29" t="inlineStr">
        <is>
          <t>P2</t>
        </is>
      </c>
      <c r="F187" s="29" t="inlineStr">
        <is>
          <t>UI</t>
        </is>
      </c>
      <c r="G187" s="27" t="inlineStr">
        <is>
          <t>Пользователь авторизован как Мастер</t>
        </is>
      </c>
      <c r="H187" s="27" t="inlineStr">
        <is>
          <t>1. В RU-версии пройти ключевые страницы (главная, каталог, товар, корзина, оформление, профиль)</t>
        </is>
      </c>
      <c r="I187" s="27" t="inlineStr"/>
      <c r="J187" s="27" t="inlineStr">
        <is>
          <t>Нет строк на другом языке, нет ключей вида snake_case (no_orders и т.п.), нет «canceled»</t>
        </is>
      </c>
      <c r="K187" s="27" t="inlineStr"/>
      <c r="L187" s="29" t="inlineStr">
        <is>
          <t>Частично</t>
        </is>
      </c>
      <c r="M187" s="27" t="inlineStr">
        <is>
          <t>Проверен только раздел «Мои заказы» (статус «canceled»)</t>
        </is>
      </c>
      <c r="N187" s="29" t="inlineStr">
        <is>
          <t>Частично автоматизирован</t>
        </is>
      </c>
      <c r="O187" s="27" t="inlineStr">
        <is>
          <t>storefront/l10n/LocalizationAuthTest#ordersHaveNoRawEnglishStatuses</t>
        </is>
      </c>
      <c r="P187" s="29" t="inlineStr">
        <is>
          <t>Не выполнен</t>
        </is>
      </c>
      <c r="Q187" s="27" t="inlineStr"/>
    </row>
    <row r="188" ht="34" customHeight="1">
      <c r="A188" s="26" t="inlineStr">
        <is>
          <t>L10N-004</t>
        </is>
      </c>
      <c r="B188" s="27" t="inlineStr">
        <is>
          <t>Локализация</t>
        </is>
      </c>
      <c r="C188" s="27" t="inlineStr">
        <is>
          <t>Форматы</t>
        </is>
      </c>
      <c r="D188" s="28" t="inlineStr">
        <is>
          <t>Формат цен и дат</t>
        </is>
      </c>
      <c r="E188" s="29" t="inlineStr">
        <is>
          <t>P3</t>
        </is>
      </c>
      <c r="F188" s="29" t="inlineStr">
        <is>
          <t>UI</t>
        </is>
      </c>
      <c r="G188" s="27" t="inlineStr">
        <is>
          <t>Пользователь авторизован как Мастер</t>
        </is>
      </c>
      <c r="H188" s="27" t="inlineStr">
        <is>
          <t>1. Проверить цены и даты на RU/UZ/EN</t>
        </is>
      </c>
      <c r="I188" s="27" t="inlineStr"/>
      <c r="J188" s="27" t="inlineStr">
        <is>
          <t>Разделители тысяч пробелом, валюта «сум»/«so'm»; даты в формате локали</t>
        </is>
      </c>
      <c r="K188" s="27" t="inlineStr"/>
      <c r="L188" s="29" t="inlineStr">
        <is>
          <t>Да</t>
        </is>
      </c>
      <c r="M188" s="27" t="inlineStr">
        <is>
          <t>Формат цен и дат — проверка глазами на всех страницах</t>
        </is>
      </c>
      <c r="N188" s="29" t="inlineStr">
        <is>
          <t>Не автоматизирован</t>
        </is>
      </c>
      <c r="O188" s="27" t="inlineStr"/>
      <c r="P188" s="29" t="inlineStr">
        <is>
          <t>Не выполнен</t>
        </is>
      </c>
      <c r="Q188" s="27" t="inlineStr"/>
    </row>
    <row r="189" ht="48" customHeight="1">
      <c r="A189" s="30" t="inlineStr">
        <is>
          <t>MOB-001</t>
        </is>
      </c>
      <c r="B189" s="31" t="inlineStr">
        <is>
          <t>Мобильная версия</t>
        </is>
      </c>
      <c r="C189" s="31" t="inlineStr">
        <is>
          <t>Навигация</t>
        </is>
      </c>
      <c r="D189" s="32" t="inlineStr">
        <is>
          <t>Нижнее меню мобильной версии</t>
        </is>
      </c>
      <c r="E189" s="33" t="inlineStr">
        <is>
          <t>P2</t>
        </is>
      </c>
      <c r="F189" s="33" t="inlineStr">
        <is>
          <t>Functional</t>
        </is>
      </c>
      <c r="G189" s="31" t="inlineStr">
        <is>
          <t>Пользователь авторизован как Мастер; ширина экрана 375px</t>
        </is>
      </c>
      <c r="H189" s="31" t="inlineStr">
        <is>
          <t>1. Открыть сайт
2. Нажать по очереди: Основной, Категории, Корзина, Избранное, Профиль</t>
        </is>
      </c>
      <c r="I189" s="31" t="inlineStr"/>
      <c r="J189" s="31" t="inlineStr">
        <is>
          <t>Каждый пункт открывает свой раздел, активный подсвечен</t>
        </is>
      </c>
      <c r="K189" s="31" t="inlineStr"/>
      <c r="L189" s="33" t="inlineStr">
        <is>
          <t>Да</t>
        </is>
      </c>
      <c r="M189" s="31" t="inlineStr">
        <is>
          <t>Нижнее меню мобильной версии — требует разведки</t>
        </is>
      </c>
      <c r="N189" s="33" t="inlineStr">
        <is>
          <t>Не автоматизирован</t>
        </is>
      </c>
      <c r="O189" s="31" t="inlineStr"/>
      <c r="P189" s="33" t="inlineStr">
        <is>
          <t>Не выполнен</t>
        </is>
      </c>
      <c r="Q189" s="31" t="inlineStr"/>
    </row>
    <row r="190" ht="34" customHeight="1">
      <c r="A190" s="30" t="inlineStr">
        <is>
          <t>MOB-002</t>
        </is>
      </c>
      <c r="B190" s="31" t="inlineStr">
        <is>
          <t>Мобильная версия</t>
        </is>
      </c>
      <c r="C190" s="31" t="inlineStr">
        <is>
          <t>Каталог</t>
        </is>
      </c>
      <c r="D190" s="32" t="inlineStr">
        <is>
          <t>Каталог и фильтры на мобильном</t>
        </is>
      </c>
      <c r="E190" s="33" t="inlineStr">
        <is>
          <t>P2</t>
        </is>
      </c>
      <c r="F190" s="33" t="inlineStr">
        <is>
          <t>Functional</t>
        </is>
      </c>
      <c r="G190" s="31" t="inlineStr">
        <is>
          <t>Пользователь авторизован как Мастер; 375px</t>
        </is>
      </c>
      <c r="H190" s="31" t="inlineStr">
        <is>
          <t>1. Открыть категорию
2. Открыть фильтры, применить</t>
        </is>
      </c>
      <c r="I190" s="31" t="inlineStr"/>
      <c r="J190" s="31" t="inlineStr">
        <is>
          <t>Фильтры открываются в отдельной панели; выдача корректна</t>
        </is>
      </c>
      <c r="K190" s="31" t="inlineStr"/>
      <c r="L190" s="33" t="inlineStr">
        <is>
          <t>Да</t>
        </is>
      </c>
      <c r="M190" s="31" t="inlineStr">
        <is>
          <t>Фильтры на мобильном — требуют разведки</t>
        </is>
      </c>
      <c r="N190" s="33" t="inlineStr">
        <is>
          <t>Не автоматизирован</t>
        </is>
      </c>
      <c r="O190" s="31" t="inlineStr"/>
      <c r="P190" s="33" t="inlineStr">
        <is>
          <t>Не выполнен</t>
        </is>
      </c>
      <c r="Q190" s="31" t="inlineStr"/>
    </row>
    <row r="191" ht="48" customHeight="1">
      <c r="A191" s="30" t="inlineStr">
        <is>
          <t>MOB-003</t>
        </is>
      </c>
      <c r="B191" s="31" t="inlineStr">
        <is>
          <t>Мобильная версия</t>
        </is>
      </c>
      <c r="C191" s="31" t="inlineStr">
        <is>
          <t>Оформление</t>
        </is>
      </c>
      <c r="D191" s="32" t="inlineStr">
        <is>
          <t>Оформление заказа на мобильном</t>
        </is>
      </c>
      <c r="E191" s="33" t="inlineStr">
        <is>
          <t>P1</t>
        </is>
      </c>
      <c r="F191" s="33" t="inlineStr">
        <is>
          <t>Functional</t>
        </is>
      </c>
      <c r="G191" s="31" t="inlineStr">
        <is>
          <t>Пользователь авторизован как Мастер; в корзине 2+ товара в наличии; 375px</t>
        </is>
      </c>
      <c r="H191" s="31" t="inlineStr">
        <is>
          <t>1. Пройти путь корзина → оформление → «Оформить заказ»</t>
        </is>
      </c>
      <c r="I191" s="31" t="inlineStr"/>
      <c r="J191" s="31" t="inlineStr">
        <is>
          <t>Все элементы доступны, заказ оформляется</t>
        </is>
      </c>
      <c r="K191" s="31" t="inlineStr"/>
      <c r="L191" s="33" t="inlineStr">
        <is>
          <t>Да</t>
        </is>
      </c>
      <c r="M191" s="31" t="inlineStr">
        <is>
          <t>Оформление на мобильном создаёт заказ</t>
        </is>
      </c>
      <c r="N191" s="33" t="inlineStr">
        <is>
          <t>Не автоматизирован</t>
        </is>
      </c>
      <c r="O191" s="31" t="inlineStr"/>
      <c r="P191" s="33" t="inlineStr">
        <is>
          <t>Не выполнен</t>
        </is>
      </c>
      <c r="Q191" s="31" t="inlineStr"/>
    </row>
    <row r="192" ht="34" customHeight="1">
      <c r="A192" s="30" t="inlineStr">
        <is>
          <t>MOB-004</t>
        </is>
      </c>
      <c r="B192" s="31" t="inlineStr">
        <is>
          <t>Мобильная версия</t>
        </is>
      </c>
      <c r="C192" s="31" t="inlineStr">
        <is>
          <t>Вёрстка</t>
        </is>
      </c>
      <c r="D192" s="32" t="inlineStr">
        <is>
          <t>Нет горизонтальной прокрутки и наложений</t>
        </is>
      </c>
      <c r="E192" s="33" t="inlineStr">
        <is>
          <t>P3</t>
        </is>
      </c>
      <c r="F192" s="33" t="inlineStr">
        <is>
          <t>UI</t>
        </is>
      </c>
      <c r="G192" s="31" t="inlineStr">
        <is>
          <t>Пользователь авторизован как Мастер; 375px / 768px</t>
        </is>
      </c>
      <c r="H192" s="31" t="inlineStr">
        <is>
          <t>1. Пройти основные страницы</t>
        </is>
      </c>
      <c r="I192" s="31" t="inlineStr"/>
      <c r="J192" s="31" t="inlineStr">
        <is>
          <t>Нет горизонтального скролла, элементы не перекрываются</t>
        </is>
      </c>
      <c r="K192" s="31" t="inlineStr"/>
      <c r="L192" s="33" t="inlineStr">
        <is>
          <t>Частично</t>
        </is>
      </c>
      <c r="M192" s="31" t="inlineStr">
        <is>
          <t>Проверено отсутствие горизонтальной прокрутки на 4 страницах; наложения — визуально</t>
        </is>
      </c>
      <c r="N192" s="33" t="inlineStr">
        <is>
          <t>Частично автоматизирован</t>
        </is>
      </c>
      <c r="O192" s="31" t="inlineStr">
        <is>
          <t>storefront/mobile/MobileTest#noHorizontalScroll</t>
        </is>
      </c>
      <c r="P192" s="33" t="inlineStr">
        <is>
          <t>Не выполнен</t>
        </is>
      </c>
      <c r="Q192" s="31" t="inlineStr"/>
    </row>
    <row r="193" ht="34" customHeight="1">
      <c r="A193" s="26" t="inlineStr">
        <is>
          <t>GEN-001</t>
        </is>
      </c>
      <c r="B193" s="27" t="inlineStr">
        <is>
          <t>Общие проверки</t>
        </is>
      </c>
      <c r="C193" s="27" t="inlineStr">
        <is>
          <t>Ошибки</t>
        </is>
      </c>
      <c r="D193" s="28" t="inlineStr">
        <is>
          <t>Страница 404</t>
        </is>
      </c>
      <c r="E193" s="29" t="inlineStr">
        <is>
          <t>P3</t>
        </is>
      </c>
      <c r="F193" s="29" t="inlineStr">
        <is>
          <t>UI</t>
        </is>
      </c>
      <c r="G193" s="27" t="inlineStr">
        <is>
          <t>Пользователь авторизован как Мастер</t>
        </is>
      </c>
      <c r="H193" s="27" t="inlineStr">
        <is>
          <t>1. Открыть несуществующий URL /ru/xyz</t>
        </is>
      </c>
      <c r="I193" s="27" t="inlineStr"/>
      <c r="J193" s="27" t="inlineStr">
        <is>
          <t>Страница 404 с текстом и кнопкой «Главная страница», которая ведёт на главную</t>
        </is>
      </c>
      <c r="K193" s="27" t="inlineStr"/>
      <c r="L193" s="29" t="inlineStr">
        <is>
          <t>Да</t>
        </is>
      </c>
      <c r="M193" s="27" t="inlineStr"/>
      <c r="N193" s="29" t="inlineStr">
        <is>
          <t>Автоматизирован</t>
        </is>
      </c>
      <c r="O193" s="27" t="inlineStr">
        <is>
          <t>storefront/general/GeneralTest#notFoundPage</t>
        </is>
      </c>
      <c r="P193" s="29" t="inlineStr">
        <is>
          <t>Не выполнен</t>
        </is>
      </c>
      <c r="Q193" s="27" t="inlineStr"/>
    </row>
    <row r="194" ht="34" customHeight="1">
      <c r="A194" s="26" t="inlineStr">
        <is>
          <t>GEN-002</t>
        </is>
      </c>
      <c r="B194" s="27" t="inlineStr">
        <is>
          <t>Общие проверки</t>
        </is>
      </c>
      <c r="C194" s="27" t="inlineStr">
        <is>
          <t>Стабильность</t>
        </is>
      </c>
      <c r="D194" s="28" t="inlineStr">
        <is>
          <t>Нет ошибок консоли и 5xx на ключевых страницах</t>
        </is>
      </c>
      <c r="E194" s="29" t="inlineStr">
        <is>
          <t>P2</t>
        </is>
      </c>
      <c r="F194" s="29" t="inlineStr">
        <is>
          <t>Technical</t>
        </is>
      </c>
      <c r="G194" s="27" t="inlineStr">
        <is>
          <t>Пользователь авторизован как Мастер</t>
        </is>
      </c>
      <c r="H194" s="27" t="inlineStr">
        <is>
          <t>1. Пройти главная → каталог → товар → корзина → оформление → профиль</t>
        </is>
      </c>
      <c r="I194" s="27" t="inlineStr"/>
      <c r="J194" s="27" t="inlineStr">
        <is>
          <t>Нет JS-ошибок в консоли, нет ответов 4xx/5xx от API (кроме ожидаемых)</t>
        </is>
      </c>
      <c r="K194" s="27" t="inlineStr"/>
      <c r="L194" s="29" t="inlineStr">
        <is>
          <t>Да</t>
        </is>
      </c>
      <c r="M194" s="27" t="inlineStr">
        <is>
          <t>Слушатели console/response в Playwright</t>
        </is>
      </c>
      <c r="N194" s="29" t="inlineStr">
        <is>
          <t>Автоматизирован</t>
        </is>
      </c>
      <c r="O194" s="27" t="inlineStr">
        <is>
          <t>storefront/general/GeneralTest#noServerErrorsOnKeyPages</t>
        </is>
      </c>
      <c r="P194" s="29" t="inlineStr">
        <is>
          <t>Не выполнен</t>
        </is>
      </c>
      <c r="Q194" s="27" t="inlineStr"/>
    </row>
    <row r="195" ht="34" customHeight="1">
      <c r="A195" s="26" t="inlineStr">
        <is>
          <t>GEN-003</t>
        </is>
      </c>
      <c r="B195" s="27" t="inlineStr">
        <is>
          <t>Общие проверки</t>
        </is>
      </c>
      <c r="C195" s="27" t="inlineStr">
        <is>
          <t>SEO</t>
        </is>
      </c>
      <c r="D195" s="28" t="inlineStr">
        <is>
          <t>Заголовки вкладок (title) страниц</t>
        </is>
      </c>
      <c r="E195" s="29" t="inlineStr">
        <is>
          <t>P3</t>
        </is>
      </c>
      <c r="F195" s="29" t="inlineStr">
        <is>
          <t>UI</t>
        </is>
      </c>
      <c r="G195" s="27" t="inlineStr">
        <is>
          <t>Пользователь авторизован как Мастер</t>
        </is>
      </c>
      <c r="H195" s="27" t="inlineStr">
        <is>
          <t>1. Проверить title на ключевых страницах</t>
        </is>
      </c>
      <c r="I195" s="27" t="inlineStr"/>
      <c r="J195" s="27" t="inlineStr">
        <is>
          <t>Корректный title, например «Корзина | Aros», «Подтверждение заказа | Aros», название товара</t>
        </is>
      </c>
      <c r="K195" s="27" t="inlineStr"/>
      <c r="L195" s="29" t="inlineStr">
        <is>
          <t>Да</t>
        </is>
      </c>
      <c r="M195" s="27" t="inlineStr"/>
      <c r="N195" s="29" t="inlineStr">
        <is>
          <t>Автоматизирован</t>
        </is>
      </c>
      <c r="O195" s="27" t="inlineStr">
        <is>
          <t>storefront/general/GeneralTest#pageTitlesAreMeaningful</t>
        </is>
      </c>
      <c r="P195" s="29" t="inlineStr">
        <is>
          <t>Не выполнен</t>
        </is>
      </c>
      <c r="Q195" s="27" t="inlineStr"/>
    </row>
    <row r="196" ht="34" customHeight="1">
      <c r="A196" s="26" t="inlineStr">
        <is>
          <t>GEN-004</t>
        </is>
      </c>
      <c r="B196" s="27" t="inlineStr">
        <is>
          <t>Общие проверки</t>
        </is>
      </c>
      <c r="C196" s="27" t="inlineStr">
        <is>
          <t>Поддержка</t>
        </is>
      </c>
      <c r="D196" s="28" t="inlineStr">
        <is>
          <t>Чат «Поддержка Aros»</t>
        </is>
      </c>
      <c r="E196" s="29" t="inlineStr">
        <is>
          <t>P3</t>
        </is>
      </c>
      <c r="F196" s="29" t="inlineStr">
        <is>
          <t>Functional</t>
        </is>
      </c>
      <c r="G196" s="27" t="inlineStr">
        <is>
          <t>Пользователь авторизован как Мастер</t>
        </is>
      </c>
      <c r="H196" s="27" t="inlineStr">
        <is>
          <t>1. Нажать кнопку чата в правом нижнем углу</t>
        </is>
      </c>
      <c r="I196" s="27" t="inlineStr"/>
      <c r="J196" s="27" t="inlineStr">
        <is>
          <t>Открывается окно/ссылка поддержки (Telegram-бот)</t>
        </is>
      </c>
      <c r="K196" s="27" t="inlineStr"/>
      <c r="L196" s="29" t="inlineStr">
        <is>
          <t>Частично</t>
        </is>
      </c>
      <c r="M196" s="27" t="inlineStr">
        <is>
          <t>Чат поддержки — внешний виджет</t>
        </is>
      </c>
      <c r="N196" s="29" t="inlineStr">
        <is>
          <t>Не автоматизирован</t>
        </is>
      </c>
      <c r="O196" s="27" t="inlineStr"/>
      <c r="P196" s="29" t="inlineStr">
        <is>
          <t>Не выполнен</t>
        </is>
      </c>
      <c r="Q196" s="27" t="inlineStr"/>
    </row>
    <row r="197" ht="34" customHeight="1">
      <c r="A197" s="26" t="inlineStr">
        <is>
          <t>GEN-005</t>
        </is>
      </c>
      <c r="B197" s="27" t="inlineStr">
        <is>
          <t>Общие проверки</t>
        </is>
      </c>
      <c r="C197" s="27" t="inlineStr">
        <is>
          <t>Производительность</t>
        </is>
      </c>
      <c r="D197" s="28" t="inlineStr">
        <is>
          <t>Время загрузки главной страницы</t>
        </is>
      </c>
      <c r="E197" s="29" t="inlineStr">
        <is>
          <t>P3</t>
        </is>
      </c>
      <c r="F197" s="29" t="inlineStr">
        <is>
          <t>Non-functional</t>
        </is>
      </c>
      <c r="G197" s="27" t="inlineStr">
        <is>
          <t>Пользователь авторизован как Мастер</t>
        </is>
      </c>
      <c r="H197" s="27" t="inlineStr">
        <is>
          <t>1. Открыть главную с очищенным кешем</t>
        </is>
      </c>
      <c r="I197" s="27" t="inlineStr"/>
      <c r="J197" s="27" t="inlineStr">
        <is>
          <t>Основной контент загружается &lt; 3 сек</t>
        </is>
      </c>
      <c r="K197" s="27" t="inlineStr"/>
      <c r="L197" s="29" t="inlineStr">
        <is>
          <t>Частично</t>
        </is>
      </c>
      <c r="M197" s="27" t="inlineStr">
        <is>
          <t>Время загрузки нестабильно на staging — измерять отдельно</t>
        </is>
      </c>
      <c r="N197" s="29" t="inlineStr">
        <is>
          <t>Не автоматизирован</t>
        </is>
      </c>
      <c r="O197" s="27" t="inlineStr"/>
      <c r="P197" s="29" t="inlineStr">
        <is>
          <t>Не выполнен</t>
        </is>
      </c>
      <c r="Q197" s="27" t="inlineStr"/>
    </row>
  </sheetData>
  <autoFilter ref="A1:Q197"/>
  <conditionalFormatting sqref="E2:E197">
    <cfRule type="expression" priority="1" dxfId="2">
      <formula>$E2="P1"</formula>
    </cfRule>
    <cfRule type="expression" priority="2" dxfId="3">
      <formula>$E2="P2"</formula>
    </cfRule>
    <cfRule type="expression" priority="3" dxfId="4">
      <formula>$E2="P3"</formula>
    </cfRule>
  </conditionalFormatting>
  <conditionalFormatting sqref="L2:L197">
    <cfRule type="expression" priority="4" dxfId="5">
      <formula>$L2="Да"</formula>
    </cfRule>
    <cfRule type="expression" priority="5" dxfId="6">
      <formula>$L2="Частично"</formula>
    </cfRule>
    <cfRule type="expression" priority="6" dxfId="2">
      <formula>$L2="Нет"</formula>
    </cfRule>
  </conditionalFormatting>
  <conditionalFormatting sqref="N2:N197">
    <cfRule type="expression" priority="7" dxfId="7">
      <formula>$N2="Автоматизирован"</formula>
    </cfRule>
    <cfRule type="expression" priority="8" dxfId="8">
      <formula>$N2="Частично"</formula>
    </cfRule>
    <cfRule type="expression" priority="9" dxfId="9">
      <formula>$N2="Не автоматизирован"</formula>
    </cfRule>
  </conditionalFormatting>
  <conditionalFormatting sqref="P2:P197">
    <cfRule type="expression" priority="10" dxfId="7">
      <formula>$P2="Passed"</formula>
    </cfRule>
    <cfRule type="expression" priority="11" dxfId="1">
      <formula>$P2="Failed"</formula>
    </cfRule>
    <cfRule type="expression" priority="12" dxfId="10">
      <formula>$P2="Blocked"</formula>
    </cfRule>
    <cfRule type="expression" priority="13" dxfId="4">
      <formula>$P2="Skipped"</formula>
    </cfRule>
  </conditionalFormatting>
  <dataValidations count="4">
    <dataValidation sqref="E2:E197" showDropDown="0" showInputMessage="0" showErrorMessage="0" allowBlank="1" type="list">
      <formula1>"P1,P2,P3"</formula1>
    </dataValidation>
    <dataValidation sqref="L2:L197" showDropDown="0" showInputMessage="0" showErrorMessage="0" allowBlank="1" type="list">
      <formula1>"Да,Частично,Нет"</formula1>
    </dataValidation>
    <dataValidation sqref="N2:N197" showDropDown="0" showInputMessage="0" showErrorMessage="0" allowBlank="1" type="list">
      <formula1>"Автоматизирован,Частично,Не автоматизирован"</formula1>
    </dataValidation>
    <dataValidation sqref="P2:P197" showDropDown="0" showInputMessage="0" showErrorMessage="0" allowBlank="1" type="list">
      <formula1>"Не выполнен,Passed,Failed,Blocked,Skipped"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36" customWidth="1" min="4" max="4"/>
    <col width="12" customWidth="1" min="5" max="5"/>
    <col width="40" customWidth="1" min="6" max="6"/>
    <col width="14" customWidth="1" min="7" max="7"/>
  </cols>
  <sheetData>
    <row r="1">
      <c r="A1" s="9" t="inlineStr">
        <is>
          <t>№</t>
        </is>
      </c>
      <c r="B1" s="9" t="inlineStr">
        <is>
          <t>Категория</t>
        </is>
      </c>
      <c r="C1" s="9" t="inlineStr">
        <is>
          <t>Описание</t>
        </is>
      </c>
      <c r="D1" s="9" t="inlineStr">
        <is>
          <t>Где</t>
        </is>
      </c>
      <c r="E1" s="9" t="inlineStr">
        <is>
          <t>Серьёзность</t>
        </is>
      </c>
      <c r="F1" s="9" t="inlineStr">
        <is>
          <t>Комментарий</t>
        </is>
      </c>
      <c r="G1" s="9" t="inlineStr">
        <is>
          <t>Статус</t>
        </is>
      </c>
    </row>
    <row r="2" ht="30" customHeight="1">
      <c r="A2" s="33" t="n">
        <v>1</v>
      </c>
      <c r="B2" s="31" t="inlineStr">
        <is>
          <t>Локализация</t>
        </is>
      </c>
      <c r="C2" s="31" t="inlineStr">
        <is>
          <t>Плейсхолдер поиска на RU-версии на узбекском: «Mahsulot nomini kiriting...»</t>
        </is>
      </c>
      <c r="D2" s="31" t="inlineStr">
        <is>
          <t>Профиль, каталог (/ru/filter?categories=45), главная после навигации</t>
        </is>
      </c>
      <c r="E2" s="33" t="inlineStr">
        <is>
          <t>Medium</t>
        </is>
      </c>
      <c r="F2" s="31" t="inlineStr">
        <is>
          <t>Ожидается «Введите название продукта...»</t>
        </is>
      </c>
      <c r="G2" s="33" t="inlineStr">
        <is>
          <t>Новое</t>
        </is>
      </c>
    </row>
    <row r="3" ht="30" customHeight="1">
      <c r="A3" s="33" t="n">
        <v>2</v>
      </c>
      <c r="B3" s="31" t="inlineStr">
        <is>
          <t>Локализация</t>
        </is>
      </c>
      <c r="C3" s="31" t="inlineStr">
        <is>
          <t>«Мой кошелёк»: в пустом состоянии выводится технический ключ «no_orders»</t>
        </is>
      </c>
      <c r="D3" s="31" t="inlineStr">
        <is>
          <t>/ru/profile/wallet</t>
        </is>
      </c>
      <c r="E3" s="33" t="inlineStr">
        <is>
          <t>Medium</t>
        </is>
      </c>
      <c r="F3" s="31" t="inlineStr">
        <is>
          <t>Ключ перевода отсутствует</t>
        </is>
      </c>
      <c r="G3" s="33" t="inlineStr">
        <is>
          <t>Новое</t>
        </is>
      </c>
    </row>
    <row r="4" ht="30" customHeight="1">
      <c r="A4" s="33" t="n">
        <v>3</v>
      </c>
      <c r="B4" s="31" t="inlineStr">
        <is>
          <t>Локализация</t>
        </is>
      </c>
      <c r="C4" s="31" t="inlineStr">
        <is>
          <t>Статус оплаты «canceled» не переведён</t>
        </is>
      </c>
      <c r="D4" s="31" t="inlineStr">
        <is>
          <t>/ru/profile/orders, /ru/profile/orders/334581</t>
        </is>
      </c>
      <c r="E4" s="33" t="inlineStr">
        <is>
          <t>Low</t>
        </is>
      </c>
      <c r="F4" s="31" t="inlineStr">
        <is>
          <t>Ожидается «Отменён»</t>
        </is>
      </c>
      <c r="G4" s="33" t="inlineStr">
        <is>
          <t>Новое</t>
        </is>
      </c>
    </row>
    <row r="5" ht="30" customHeight="1">
      <c r="A5" s="33" t="n">
        <v>4</v>
      </c>
      <c r="B5" s="31" t="inlineStr">
        <is>
          <t>Локализация</t>
        </is>
      </c>
      <c r="C5" s="31" t="inlineStr">
        <is>
          <t>Вкладка «Hamkor» в «Мои запросы» не переведена</t>
        </is>
      </c>
      <c r="D5" s="31" t="inlineStr">
        <is>
          <t>/ru/profile/request</t>
        </is>
      </c>
      <c r="E5" s="33" t="inlineStr">
        <is>
          <t>Low</t>
        </is>
      </c>
      <c r="F5" s="31" t="inlineStr">
        <is>
          <t>Ожидается «Партнёр»</t>
        </is>
      </c>
      <c r="G5" s="33" t="inlineStr">
        <is>
          <t>Новое</t>
        </is>
      </c>
    </row>
    <row r="6" ht="30" customHeight="1">
      <c r="A6" s="33" t="n">
        <v>5</v>
      </c>
      <c r="B6" s="31" t="inlineStr">
        <is>
          <t>Локализация</t>
        </is>
      </c>
      <c r="C6" s="31" t="inlineStr">
        <is>
          <t>Название склада «Asosiy ombor» на RU-версии</t>
        </is>
      </c>
      <c r="D6" s="31" t="inlineStr">
        <is>
          <t>Страница товара pvId=9824</t>
        </is>
      </c>
      <c r="E6" s="33" t="inlineStr">
        <is>
          <t>Low</t>
        </is>
      </c>
      <c r="F6" s="31" t="inlineStr">
        <is>
          <t>Ожидается «Основной склад»</t>
        </is>
      </c>
      <c r="G6" s="33" t="inlineStr">
        <is>
          <t>Новое</t>
        </is>
      </c>
    </row>
    <row r="7" ht="30" customHeight="1">
      <c r="A7" s="33" t="n">
        <v>6</v>
      </c>
      <c r="B7" s="31" t="inlineStr">
        <is>
          <t>Текст</t>
        </is>
      </c>
      <c r="C7" s="31" t="inlineStr">
        <is>
          <t>Опечатка в сортировке: «Сначало дешевые/дорогие/старые/новые»</t>
        </is>
      </c>
      <c r="D7" s="31" t="inlineStr">
        <is>
          <t>Каталог → «Сортировка»</t>
        </is>
      </c>
      <c r="E7" s="33" t="inlineStr">
        <is>
          <t>Low</t>
        </is>
      </c>
      <c r="F7" s="31" t="inlineStr">
        <is>
          <t>Правильно: «Сначала»</t>
        </is>
      </c>
      <c r="G7" s="33" t="inlineStr">
        <is>
          <t>Новое</t>
        </is>
      </c>
    </row>
    <row r="8" ht="30" customHeight="1">
      <c r="A8" s="33" t="n">
        <v>7</v>
      </c>
      <c r="B8" s="31" t="inlineStr">
        <is>
          <t>Изображения</t>
        </is>
      </c>
      <c r="C8" s="31" t="inlineStr">
        <is>
          <t>Битые иконки категорий «Электроника» и «Мебель» в меню каталога</t>
        </is>
      </c>
      <c r="D8" s="31" t="inlineStr">
        <is>
          <t>Меню «Каталог»</t>
        </is>
      </c>
      <c r="E8" s="33" t="inlineStr">
        <is>
          <t>Low</t>
        </is>
      </c>
      <c r="F8" s="31" t="inlineStr"/>
      <c r="G8" s="33" t="inlineStr">
        <is>
          <t>Новое</t>
        </is>
      </c>
    </row>
    <row r="9" ht="30" customHeight="1">
      <c r="A9" s="33" t="n">
        <v>8</v>
      </c>
      <c r="B9" s="31" t="inlineStr">
        <is>
          <t>Изображения</t>
        </is>
      </c>
      <c r="C9" s="31" t="inlineStr">
        <is>
          <t>Нет основного фото товара (alt «Product image»)</t>
        </is>
      </c>
      <c r="D9" s="31" t="inlineStr">
        <is>
          <t>Страница товара pvId=9824</t>
        </is>
      </c>
      <c r="E9" s="33" t="inlineStr">
        <is>
          <t>Low</t>
        </is>
      </c>
      <c r="F9" s="31" t="inlineStr">
        <is>
          <t>Возможно, проблема данных на staging</t>
        </is>
      </c>
      <c r="G9" s="33" t="inlineStr">
        <is>
          <t>Новое</t>
        </is>
      </c>
    </row>
    <row r="10" ht="30" customHeight="1">
      <c r="A10" s="33" t="n">
        <v>9</v>
      </c>
      <c r="B10" s="31" t="inlineStr">
        <is>
          <t>Изображения</t>
        </is>
      </c>
      <c r="C10" s="31" t="inlineStr">
        <is>
          <t>В корзине у товаров не отображаются миниатюры</t>
        </is>
      </c>
      <c r="D10" s="31" t="inlineStr">
        <is>
          <t>/ru/cart</t>
        </is>
      </c>
      <c r="E10" s="33" t="inlineStr">
        <is>
          <t>Low</t>
        </is>
      </c>
      <c r="F10" s="31" t="inlineStr">
        <is>
          <t>Уточнить, предусмотрены ли миниатюры дизайном</t>
        </is>
      </c>
      <c r="G10" s="33" t="inlineStr">
        <is>
          <t>Новое</t>
        </is>
      </c>
    </row>
    <row r="11" ht="30" customHeight="1">
      <c r="A11" s="33" t="n">
        <v>10</v>
      </c>
      <c r="B11" s="31" t="inlineStr">
        <is>
          <t>Данные</t>
        </is>
      </c>
      <c r="C11" s="31" t="inlineStr">
        <is>
          <t>В заказе со способом «В офис Ароса» адрес доставки — домашний адрес клиента</t>
        </is>
      </c>
      <c r="D11" s="31" t="inlineStr">
        <is>
          <t>/ru/profile/orders/334581</t>
        </is>
      </c>
      <c r="E11" s="33" t="inlineStr">
        <is>
          <t>Info</t>
        </is>
      </c>
      <c r="F11" s="31" t="inlineStr">
        <is>
          <t>В новом заказе #518190 адрес офиса правильный — вероятно, старые данные; перепроверить на свежем заказе</t>
        </is>
      </c>
      <c r="G11" s="33" t="inlineStr">
        <is>
          <t>Новое</t>
        </is>
      </c>
    </row>
    <row r="12" ht="30" customHeight="1">
      <c r="A12" s="33" t="n">
        <v>11</v>
      </c>
      <c r="B12" s="31" t="inlineStr">
        <is>
          <t>Фильтры</t>
        </is>
      </c>
      <c r="C12" s="31" t="inlineStr">
        <is>
          <t>Границы фильтра цены не согласованы: поля 0–100 000, плейсхолдер «50 000 000», ползунок max 99 000</t>
        </is>
      </c>
      <c r="D12" s="31" t="inlineStr">
        <is>
          <t>/ru/filter?categories=45</t>
        </is>
      </c>
      <c r="E12" s="33" t="inlineStr">
        <is>
          <t>Low</t>
        </is>
      </c>
      <c r="F12" s="31" t="inlineStr">
        <is>
          <t>Проверить, не отсекаются ли товары дороже 99 000</t>
        </is>
      </c>
      <c r="G12" s="33" t="inlineStr">
        <is>
          <t>Новое</t>
        </is>
      </c>
    </row>
    <row r="13" ht="30" customHeight="1">
      <c r="A13" s="33" t="n">
        <v>12</v>
      </c>
      <c r="B13" s="31" t="inlineStr">
        <is>
          <t>URL</t>
        </is>
      </c>
      <c r="C13" s="31" t="inlineStr">
        <is>
          <t>Разные параметры категорий: меню использует ?categories=, хлебные крошки — ?category=</t>
        </is>
      </c>
      <c r="D13" s="31" t="inlineStr">
        <is>
          <t>Каталог / страница товара</t>
        </is>
      </c>
      <c r="E13" s="33" t="inlineStr">
        <is>
          <t>Low</t>
        </is>
      </c>
      <c r="F13" s="31" t="inlineStr">
        <is>
          <t>Проверить, что обе ссылки дают одинаковую выдачу</t>
        </is>
      </c>
      <c r="G13" s="33" t="inlineStr">
        <is>
          <t>Новое</t>
        </is>
      </c>
    </row>
    <row r="14" ht="30" customHeight="1">
      <c r="A14" s="33" t="n">
        <v>13</v>
      </c>
      <c r="B14" s="31" t="inlineStr">
        <is>
          <t>Навигация</t>
        </is>
      </c>
      <c r="C14" s="31" t="inlineStr">
        <is>
          <t>Часть ссылок футера ведёт на заглушку /coming-soon</t>
        </is>
      </c>
      <c r="D14" s="31" t="inlineStr">
        <is>
          <t>Футер</t>
        </is>
      </c>
      <c r="E14" s="33" t="inlineStr">
        <is>
          <t>Info</t>
        </is>
      </c>
      <c r="F14" s="31" t="inlineStr">
        <is>
          <t>Зафиксировать список ожидаемых заглушек</t>
        </is>
      </c>
      <c r="G14" s="33" t="inlineStr">
        <is>
          <t>Новое</t>
        </is>
      </c>
    </row>
    <row r="15" ht="30" customHeight="1">
      <c r="A15" s="33" t="n">
        <v>14</v>
      </c>
      <c r="B15" s="31" t="inlineStr">
        <is>
          <t>Заказы</t>
        </is>
      </c>
      <c r="C15" s="31" t="inlineStr">
        <is>
          <t>После отмены заказа список «Мои заказы» показывает старый статус «Готов» до перезагрузки страницы</t>
        </is>
      </c>
      <c r="D15" s="31" t="inlineStr">
        <is>
          <t>Детали заказа → «Отменить заказ» → список (#518190)</t>
        </is>
      </c>
      <c r="E15" s="33" t="inlineStr">
        <is>
          <t>Medium</t>
        </is>
      </c>
      <c r="F15" s="31" t="inlineStr">
        <is>
          <t>После F5 статус «Отменен»</t>
        </is>
      </c>
      <c r="G15" s="33" t="inlineStr">
        <is>
          <t>Новое</t>
        </is>
      </c>
    </row>
    <row r="16" ht="30" customHeight="1">
      <c r="A16" s="33" t="n">
        <v>15</v>
      </c>
      <c r="B16" s="31" t="inlineStr">
        <is>
          <t>Уведомления</t>
        </is>
      </c>
      <c r="C16" s="31" t="inlineStr">
        <is>
          <t>Текст уведомления об отмене — только причина «Заказал(а) по ошибке», без шаблона «Вы отменили заказ. Причина: заказ оформлен по ошибке.»</t>
        </is>
      </c>
      <c r="D16" s="31" t="inlineStr">
        <is>
          <t>/ru/profile/notifications</t>
        </is>
      </c>
      <c r="E16" s="33" t="inlineStr">
        <is>
          <t>Low</t>
        </is>
      </c>
      <c r="F16" s="31" t="inlineStr">
        <is>
          <t>PRD «Buyurtmani bekor qilish» §6.2 (AIDT-645) — уточнить, внедрено ли</t>
        </is>
      </c>
      <c r="G16" s="33" t="inlineStr">
        <is>
          <t>Новое</t>
        </is>
      </c>
    </row>
    <row r="17" ht="30" customHeight="1">
      <c r="A17" s="33" t="n">
        <v>16</v>
      </c>
      <c r="B17" s="31" t="inlineStr">
        <is>
          <t>Смена оплаты</t>
        </is>
      </c>
      <c r="C17" s="31" t="inlineStr">
        <is>
          <t>В окне «Изменить способ оплаты» в списке есть текущий способ «Наличные»</t>
        </is>
      </c>
      <c r="D17" s="31" t="inlineStr">
        <is>
          <t>Детали заказа #518190</t>
        </is>
      </c>
      <c r="E17" s="33" t="inlineStr">
        <is>
          <t>Low</t>
        </is>
      </c>
      <c r="F17" s="31" t="inlineStr">
        <is>
          <t>PRD Change Payment Method: текущий способ не выбирается — проверить, активен ли он</t>
        </is>
      </c>
      <c r="G17" s="33" t="inlineStr">
        <is>
          <t>Новое</t>
        </is>
      </c>
    </row>
    <row r="18" ht="30" customHeight="1">
      <c r="A18" s="33" t="n">
        <v>17</v>
      </c>
      <c r="B18" s="31" t="inlineStr">
        <is>
          <t>Локализация</t>
        </is>
      </c>
      <c r="C18" s="31" t="inlineStr">
        <is>
          <t>Один способ оплаты назван по-разному: «Балл» при оформлении и «Кешбек» в окне смены оплаты</t>
        </is>
      </c>
      <c r="D18" s="31" t="inlineStr">
        <is>
          <t>/ru/confirmation, детали заказа</t>
        </is>
      </c>
      <c r="E18" s="33" t="inlineStr">
        <is>
          <t>Low</t>
        </is>
      </c>
      <c r="F18" s="31" t="inlineStr">
        <is>
          <t>Ожидается единое название «Балл»</t>
        </is>
      </c>
      <c r="G18" s="33" t="inlineStr">
        <is>
          <t>Новое</t>
        </is>
      </c>
    </row>
    <row r="19" ht="30" customHeight="1">
      <c r="A19" s="33" t="n">
        <v>18</v>
      </c>
      <c r="B19" s="31" t="inlineStr">
        <is>
          <t>Заказы</t>
        </is>
      </c>
      <c r="C19" s="31" t="inlineStr">
        <is>
          <t>В деталях заказа нет «Цены заказа», «Скидки» и «Начисленных баллов»</t>
        </is>
      </c>
      <c r="D19" s="31" t="inlineStr">
        <is>
          <t>/ru/profile/orders/{id}</t>
        </is>
      </c>
      <c r="E19" s="33" t="inlineStr">
        <is>
          <t>Medium</t>
        </is>
      </c>
      <c r="F19" s="31" t="inlineStr">
        <is>
          <t>PRD My Orders §4.5</t>
        </is>
      </c>
      <c r="G19" s="33" t="inlineStr">
        <is>
          <t>Новое</t>
        </is>
      </c>
    </row>
    <row r="20" ht="30" customHeight="1">
      <c r="A20" s="33" t="n">
        <v>19</v>
      </c>
      <c r="B20" s="31" t="inlineStr">
        <is>
          <t>Заказы</t>
        </is>
      </c>
      <c r="C20" s="31" t="inlineStr">
        <is>
          <t>На вебе в «Мои заказы» нет поиска по ID и фильтра по типу оплаты — только период «С/До»</t>
        </is>
      </c>
      <c r="D20" s="31" t="inlineStr">
        <is>
          <t>/ru/profile/orders → «Фильтры»</t>
        </is>
      </c>
      <c r="E20" s="33" t="inlineStr">
        <is>
          <t>Low</t>
        </is>
      </c>
      <c r="F20" s="31" t="inlineStr">
        <is>
          <t>PRD My Orders §4.3–4.4 — уточнить, только ли для мобильного</t>
        </is>
      </c>
      <c r="G20" s="33" t="inlineStr">
        <is>
          <t>Новое</t>
        </is>
      </c>
    </row>
    <row r="21" ht="30" customHeight="1">
      <c r="A21" s="33" t="n">
        <v>20</v>
      </c>
      <c r="B21" s="31" t="inlineStr">
        <is>
          <t>Кошелёк</t>
        </is>
      </c>
      <c r="C21" s="31" t="inlineStr">
        <is>
          <t>На странице «Транзакции кошелька» нет сводки Баланс / Поступления / Списания</t>
        </is>
      </c>
      <c r="D21" s="31" t="inlineStr">
        <is>
          <t>/ru/profile/wallet/transactions</t>
        </is>
      </c>
      <c r="E21" s="33" t="inlineStr">
        <is>
          <t>Low</t>
        </is>
      </c>
      <c r="F21" s="31" t="inlineStr">
        <is>
          <t>PRD Wallet transactions §5.3</t>
        </is>
      </c>
      <c r="G21" s="33" t="inlineStr">
        <is>
          <t>Новое</t>
        </is>
      </c>
    </row>
    <row r="22" ht="30" customHeight="1">
      <c r="A22" s="33" t="n">
        <v>21</v>
      </c>
      <c r="B22" s="31" t="inlineStr">
        <is>
          <t>Оформление</t>
        </is>
      </c>
      <c r="C22" s="31" t="inlineStr">
        <is>
          <t>При способе «В офис Ароса» показана кнопка «Добавить адрес»</t>
        </is>
      </c>
      <c r="D22" s="31" t="inlineStr">
        <is>
          <t>/ru/confirmation</t>
        </is>
      </c>
      <c r="E22" s="33" t="inlineStr">
        <is>
          <t>Low</t>
        </is>
      </c>
      <c r="F22" s="31" t="inlineStr">
        <is>
          <t>PRD Client Confirmation CHK-006.3 (DRAFT): для офиса должна быть скрыта</t>
        </is>
      </c>
      <c r="G22" s="33" t="inlineStr">
        <is>
          <t>Новое</t>
        </is>
      </c>
    </row>
    <row r="23" ht="30" customHeight="1">
      <c r="A23" s="33" t="n">
        <v>22</v>
      </c>
      <c r="B23" s="31" t="inlineStr">
        <is>
          <t>Локализация</t>
        </is>
      </c>
      <c r="C23" s="31" t="inlineStr">
        <is>
          <t>Формат даты в уведомлениях «28-октябрь» вместо «28 октября»</t>
        </is>
      </c>
      <c r="D23" s="31" t="inlineStr">
        <is>
          <t>/ru/profile/notifications</t>
        </is>
      </c>
      <c r="E23" s="33" t="inlineStr">
        <is>
          <t>Low</t>
        </is>
      </c>
      <c r="F23" s="31" t="inlineStr"/>
      <c r="G23" s="33" t="inlineStr">
        <is>
          <t>Новое</t>
        </is>
      </c>
    </row>
    <row r="24">
      <c r="A24" s="38" t="n">
        <v>23</v>
      </c>
      <c r="B24" s="38" t="inlineStr">
        <is>
          <t>Авторизация</t>
        </is>
      </c>
      <c r="C24" s="38" t="inlineStr">
        <is>
          <t>Выход из системы на странице профиля, открытой прямой ссылкой (новая вкладка), оставляет пустой экран about:blank</t>
        </is>
      </c>
      <c r="D24" s="38" t="inlineStr">
        <is>
          <t>/ru/profile → «Выйти из системы»</t>
        </is>
      </c>
      <c r="E24" s="38" t="inlineStr">
        <is>
          <t>Medium</t>
        </is>
      </c>
      <c r="F24" s="38" t="inlineStr">
        <is>
          <t>Похоже, выход делает «назад по истории». Автотест AUTH-X02. Через переход с главной выход работает.</t>
        </is>
      </c>
      <c r="G24" s="38" t="inlineStr">
        <is>
          <t>Новое</t>
        </is>
      </c>
    </row>
    <row r="25">
      <c r="A25" s="38" t="n">
        <v>24</v>
      </c>
      <c r="B25" s="39" t="inlineStr">
        <is>
          <t>Авторизация</t>
        </is>
      </c>
      <c r="C25" s="38" t="inlineStr">
        <is>
          <t>Гость, открывший закрытую страницу (/profile/..., /confirmation), остаётся на пустом экране — нет ни окна входа, ни редиректа</t>
        </is>
      </c>
      <c r="D25" s="38" t="inlineStr">
        <is>
          <t>/ru/profile/orders без входа</t>
        </is>
      </c>
      <c r="E25" s="38" t="inlineStr">
        <is>
          <t>Medium</t>
        </is>
      </c>
      <c r="F25" s="38" t="inlineStr">
        <is>
          <t>Данные не показываются, но UX сломан. Автотест AUTH-X03.</t>
        </is>
      </c>
      <c r="G25" s="38" t="inlineStr">
        <is>
          <t>Новое</t>
        </is>
      </c>
    </row>
    <row r="26">
      <c r="A26" s="38" t="n">
        <v>25</v>
      </c>
      <c r="B26" s="38" t="inlineStr">
        <is>
          <t>Авторизация</t>
        </is>
      </c>
      <c r="C26" s="38" t="inlineStr">
        <is>
          <t>После входа язык переключается на сохранённый в профиле (localStorage 'language'); если он отличается от языка в адресе, страница /ru показывается на английском</t>
        </is>
      </c>
      <c r="D26" s="38" t="inlineStr">
        <is>
          <t>Вход на /ru под аккаунтом с языком en</t>
        </is>
      </c>
      <c r="E26" s="38" t="inlineStr">
        <is>
          <t>Medium</t>
        </is>
      </c>
      <c r="F26" s="38" t="inlineStr">
        <is>
          <t>Адрес и интерфейс расходятся. Уточнить у разработчиков, задумано ли так.</t>
        </is>
      </c>
      <c r="G26" s="38" t="inlineStr">
        <is>
          <t>Новое</t>
        </is>
      </c>
    </row>
    <row r="27">
      <c r="A27" s="38" t="n">
        <v>26</v>
      </c>
      <c r="B27" s="38" t="inlineStr">
        <is>
          <t>Каталог</t>
        </is>
      </c>
      <c r="C27" s="38" t="inlineStr">
        <is>
          <t>У страницы каталога/поиска пустая подстановка в title вкладки: «- купить в Aros»</t>
        </is>
      </c>
      <c r="D27" s="38" t="inlineStr">
        <is>
          <t>/ru/filter?query=…</t>
        </is>
      </c>
      <c r="E27" s="38" t="inlineStr">
        <is>
          <t>Low</t>
        </is>
      </c>
      <c r="F27" s="38" t="inlineStr">
        <is>
          <t>Автотест GEN-003.</t>
        </is>
      </c>
      <c r="G27" s="38" t="inlineStr">
        <is>
          <t>Новое</t>
        </is>
      </c>
    </row>
    <row r="28">
      <c r="A28" s="38" t="n">
        <v>27</v>
      </c>
      <c r="B28" s="38" t="inlineStr">
        <is>
          <t>Каталог</t>
        </is>
      </c>
      <c r="C28" s="38" t="inlineStr">
        <is>
          <t>Товар «под заказ» показан с ценой «0 сум» при включённом «Только в наличии» (пример: Tashqi akkumulyator Xiaomi pb200szm Qora, ID 9932)</t>
        </is>
      </c>
      <c r="D28" s="38" t="inlineStr">
        <is>
          <t>/ru/filter?query=akkumulyator</t>
        </is>
      </c>
      <c r="E28" s="38" t="inlineStr">
        <is>
          <t>Medium</t>
        </is>
      </c>
      <c r="F28" s="38" t="inlineStr">
        <is>
          <t>Автотест CAT-X01.</t>
        </is>
      </c>
      <c r="G28" s="38" t="inlineStr">
        <is>
          <t>Новое</t>
        </is>
      </c>
    </row>
    <row r="29">
      <c r="A29" s="38" t="n">
        <v>28</v>
      </c>
      <c r="B29" s="38" t="inlineStr">
        <is>
          <t>Локализация</t>
        </is>
      </c>
      <c r="C29" s="38" t="inlineStr">
        <is>
          <t>Гость на /ru видит названия товаров на узбекском (запросы идут с lang=uz): «Akkumulyator Samsung…» вместо «Аккумуляторы Samsung…». У вошедшего — на русском</t>
        </is>
      </c>
      <c r="D29" s="38" t="inlineStr">
        <is>
          <t>/ru, гость</t>
        </is>
      </c>
      <c r="E29" s="38" t="inlineStr">
        <is>
          <t>Medium</t>
        </is>
      </c>
      <c r="F29" s="38" t="inlineStr">
        <is>
          <t>В запросах списка товаров параметр lang=uz независимо от языка в адресе.</t>
        </is>
      </c>
      <c r="G29" s="38" t="inlineStr">
        <is>
          <t>Новое</t>
        </is>
      </c>
    </row>
    <row r="30">
      <c r="A30" s="38" t="n">
        <v>29</v>
      </c>
      <c r="B30" s="38" t="inlineStr">
        <is>
          <t>Локализация</t>
        </is>
      </c>
      <c r="C30" s="38" t="inlineStr">
        <is>
          <t>Страница 404 на /ru показана по-английски («It seems that the product you are looking for is not available…»)</t>
        </is>
      </c>
      <c r="D30" s="38" t="inlineStr">
        <is>
          <t>/ru/favorites и другие несуществующие адреса</t>
        </is>
      </c>
      <c r="E30" s="38" t="inlineStr">
        <is>
          <t>Low</t>
        </is>
      </c>
      <c r="F30" s="38" t="inlineStr">
        <is>
          <t>Не переведена.</t>
        </is>
      </c>
      <c r="G30" s="38" t="inlineStr">
        <is>
          <t>Новое</t>
        </is>
      </c>
    </row>
    <row r="31">
      <c r="A31" s="38" t="n">
        <v>30</v>
      </c>
      <c r="B31" s="38" t="inlineStr">
        <is>
          <t>Локализация</t>
        </is>
      </c>
      <c r="C31" s="38" t="inlineStr">
        <is>
          <t>Фильтр цены в каталоге: подпись «Цена (so'm)» на узбекском в русской версии</t>
        </is>
      </c>
      <c r="D31" s="38" t="inlineStr">
        <is>
          <t>/ru/filter</t>
        </is>
      </c>
      <c r="E31" s="38" t="inlineStr">
        <is>
          <t>Low</t>
        </is>
      </c>
      <c r="F31" s="38" t="inlineStr">
        <is>
          <t>Автотест L10N-X01.</t>
        </is>
      </c>
      <c r="G31" s="38" t="inlineStr">
        <is>
          <t>Новое</t>
        </is>
      </c>
    </row>
    <row r="32">
      <c r="A32" s="38" t="n">
        <v>31</v>
      </c>
      <c r="B32" s="38" t="inlineStr">
        <is>
          <t>Корзина</t>
        </is>
      </c>
      <c r="C32" s="38" t="inlineStr">
        <is>
          <t>На странице корзины два блока «Итого:», один из них скрыт и не пересчитывается при снятии отметок (показывает старую сумму)</t>
        </is>
      </c>
      <c r="D32" s="38" t="inlineStr">
        <is>
          <t>/ru/cart</t>
        </is>
      </c>
      <c r="E32" s="38" t="inlineStr">
        <is>
          <t>Low</t>
        </is>
      </c>
      <c r="F32" s="38" t="inlineStr">
        <is>
          <t>Видимый блок считает верно. Если скрытый — мобильная панель, на телефоне сумма может быть неверной (проверить MOB-003).</t>
        </is>
      </c>
      <c r="G32" s="38" t="inlineStr">
        <is>
          <t>Новое</t>
        </is>
      </c>
    </row>
    <row r="33">
      <c r="A33" s="38" t="n">
        <v>32</v>
      </c>
      <c r="B33" s="38" t="inlineStr">
        <is>
          <t>Подбор по модели</t>
        </is>
      </c>
      <c r="C33" s="38" t="inlineStr">
        <is>
          <t>Первая категория в списке (например, «Защитные стёкла» у Samsung Galaxy A52) при клике ничего не делает — нет ни перехода, ни сообщения</t>
        </is>
      </c>
      <c r="D33" s="38" t="inlineStr">
        <is>
          <t>Модель → Samsung → Galaxy… → первая категория</t>
        </is>
      </c>
      <c r="E33" s="38" t="inlineStr">
        <is>
          <t>Low</t>
        </is>
      </c>
      <c r="F33" s="38" t="inlineStr">
        <is>
          <t>Ожидается переход со списком или сообщение «нет товаров».</t>
        </is>
      </c>
      <c r="G33" s="38" t="inlineStr">
        <is>
          <t>Новое</t>
        </is>
      </c>
    </row>
    <row r="34">
      <c r="A34" s="38" t="n">
        <v>33</v>
      </c>
      <c r="B34" s="38" t="inlineStr">
        <is>
          <t>API</t>
        </is>
      </c>
      <c r="C34" s="38" t="inlineStr">
        <is>
          <t>Запросы с некорректными значениями: sidebar-filters отвечает 500 (?brands=undefined&amp;product_models=undefined); …/warehouses/null/workers/ — 404; …/product-variants/quantities/ — 400</t>
        </is>
      </c>
      <c r="D34" s="38" t="inlineStr">
        <is>
          <t>/ru/filter, главная (вошедший пользователь)</t>
        </is>
      </c>
      <c r="E34" s="38" t="inlineStr">
        <is>
          <t>Medium</t>
        </is>
      </c>
      <c r="F34" s="38" t="inlineStr">
        <is>
          <t>Фронт отправляет undefined/null. Нужны проверки на стороне фронта и бэка. Автотест GEN-002 ловит 5xx.</t>
        </is>
      </c>
      <c r="G34" s="38" t="inlineStr">
        <is>
          <t>Новое</t>
        </is>
      </c>
    </row>
    <row r="35">
      <c r="A35" s="38" t="n">
        <v>34</v>
      </c>
      <c r="B35" s="38" t="inlineStr">
        <is>
          <t>Избранное</t>
        </is>
      </c>
      <c r="C35" s="38" t="inlineStr">
        <is>
          <t>Страница избранного не найдена: /ru/favorites возвращает 404; у вошедшего клик по «сердцу» в шапке ничего не открывает</t>
        </is>
      </c>
      <c r="D35" s="38" t="inlineStr">
        <is>
          <t>Шапка → «сердце»</t>
        </is>
      </c>
      <c r="E35" s="38" t="inlineStr">
        <is>
          <t>Medium</t>
        </is>
      </c>
      <c r="F35" s="38" t="inlineStr">
        <is>
          <t>Уточнить у разработчиков: функциональность не реализована или маршрут другой. Автотесты FAV-* не написаны.</t>
        </is>
      </c>
      <c r="G35" s="38" t="inlineStr">
        <is>
          <t>Новое</t>
        </is>
      </c>
    </row>
    <row r="36"/>
    <row r="37">
      <c r="B37" t="inlineStr">
        <is>
          <t>Замечания найдены при исследовании staging 28.10.2026 под аккаунтом мастера. Перед заведением бага — перепроверить.</t>
        </is>
      </c>
    </row>
  </sheetData>
  <autoFilter ref="A1:G23"/>
  <conditionalFormatting sqref="E2:E23">
    <cfRule type="expression" priority="1" dxfId="3">
      <formula>$E2="Medium"</formula>
    </cfRule>
    <cfRule type="expression" priority="2" dxfId="6">
      <formula>$E2="Low"</formula>
    </cfRule>
    <cfRule type="expression" priority="3" dxfId="11">
      <formula>$E2="Info"</formula>
    </cfRule>
  </conditionalFormatting>
  <dataValidations count="1">
    <dataValidation sqref="G2:G23" showDropDown="0" showInputMessage="0" showErrorMessage="0" allowBlank="1" type="list">
      <formula1>"Новое,Заведён баг,Не баг,Исправлено"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70" customWidth="1" min="3" max="3"/>
  </cols>
  <sheetData>
    <row r="1">
      <c r="A1" s="9" t="inlineStr">
        <is>
          <t>PRD / страница</t>
        </is>
      </c>
      <c r="B1" s="9" t="inlineStr">
        <is>
          <t>О чём</t>
        </is>
      </c>
      <c r="C1" s="9" t="inlineStr">
        <is>
          <t>Ссылка</t>
        </is>
      </c>
    </row>
    <row r="2">
      <c r="A2" s="31" t="inlineStr">
        <is>
          <t>13. Qarz va hamyon</t>
        </is>
      </c>
      <c r="B2" s="31" t="inlineStr">
        <is>
          <t>Раздел админки: долг и кошелёк</t>
        </is>
      </c>
      <c r="C2" s="35" t="inlineStr">
        <is>
          <t>https://arositdepartment.atlassian.net/wiki/spaces/~ArosMarket/pages/354320395</t>
        </is>
      </c>
    </row>
    <row r="3">
      <c r="A3" s="31" t="inlineStr">
        <is>
          <t>Debt Limit and Payment Deadline Management (B2B/B2M)</t>
        </is>
      </c>
      <c r="B3" s="31" t="inlineStr">
        <is>
          <t>Лимит суммы и дней, срок долга, блокировка Hamyon</t>
        </is>
      </c>
      <c r="C3" s="35" t="inlineStr">
        <is>
          <t>https://arositdepartment.atlassian.net/wiki/spaces/~ArosMarket/pages/305004559</t>
        </is>
      </c>
    </row>
    <row r="4">
      <c r="A4" s="31" t="inlineStr">
        <is>
          <t>Muddati o'tgan qarzda ball bilan savdo cheklovi (DRAFT)</t>
        </is>
      </c>
      <c r="B4" s="31" t="inlineStr">
        <is>
          <t>Запрет оплаты баллами при просроченном долге</t>
        </is>
      </c>
      <c r="C4" s="35" t="inlineStr">
        <is>
          <t>https://arositdepartment.atlassian.net/wiki/spaces/~ArosMarket/pages/346292227</t>
        </is>
      </c>
    </row>
    <row r="5">
      <c r="A5" s="31" t="inlineStr">
        <is>
          <t>Pay Debt</t>
        </is>
      </c>
      <c r="B5" s="31" t="inlineStr">
        <is>
          <t>Погашение долга (админка), статусы оплаты</t>
        </is>
      </c>
      <c r="C5" s="35" t="inlineStr">
        <is>
          <t>https://arositdepartment.atlassian.net/wiki/spaces/~ArosMarket/pages/292421633</t>
        </is>
      </c>
    </row>
    <row r="6">
      <c r="A6" s="31" t="inlineStr">
        <is>
          <t>Wallet / Point</t>
        </is>
      </c>
      <c r="B6" s="31" t="inlineStr">
        <is>
          <t>Транзакции кошелька и баллов (админка)</t>
        </is>
      </c>
      <c r="C6" s="35" t="inlineStr">
        <is>
          <t>https://arositdepartment.atlassian.net/wiki/spaces/~ArosMarket/pages/324108289</t>
        </is>
      </c>
    </row>
    <row r="7">
      <c r="A7" s="31" t="inlineStr">
        <is>
          <t>4. Buyurtmalar</t>
        </is>
      </c>
      <c r="B7" s="31" t="inlineStr">
        <is>
          <t>Раздел админки: заказы</t>
        </is>
      </c>
      <c r="C7" s="35" t="inlineStr">
        <is>
          <t>https://arositdepartment.atlassian.net/wiki/spaces/~ArosMarket/pages/354582529</t>
        </is>
      </c>
    </row>
    <row r="8">
      <c r="A8" s="31" t="inlineStr">
        <is>
          <t>Client Confirmation Page (DRAFT)</t>
        </is>
      </c>
      <c r="B8" s="31" t="inlineStr">
        <is>
          <t>Оформление: оплата, доставка, Яндекс, склады</t>
        </is>
      </c>
      <c r="C8" s="35" t="inlineStr">
        <is>
          <t>https://arositdepartment.atlassian.net/wiki/spaces/~ArosMarket/pages/317849606</t>
        </is>
      </c>
    </row>
    <row r="9">
      <c r="A9" s="31" t="inlineStr">
        <is>
          <t>Buyurtmani bekor qilish</t>
        </is>
      </c>
      <c r="B9" s="31" t="inlineStr">
        <is>
          <t>Причины отмены и тексты уведомлений</t>
        </is>
      </c>
      <c r="C9" s="35" t="inlineStr">
        <is>
          <t>https://arositdepartment.atlassian.net/wiki/spaces/~ArosMarket/pages/340525071</t>
        </is>
      </c>
    </row>
    <row r="10">
      <c r="A10" s="31" t="inlineStr">
        <is>
          <t>Change Payment Method</t>
        </is>
      </c>
      <c r="B10" s="31" t="inlineStr">
        <is>
          <t>Смена способа оплаты заказа</t>
        </is>
      </c>
      <c r="C10" s="35" t="inlineStr">
        <is>
          <t>https://arositdepartment.atlassian.net/wiki/spaces/~ArosMarket/pages/319750146</t>
        </is>
      </c>
    </row>
    <row r="11">
      <c r="A11" s="31" t="inlineStr">
        <is>
          <t>Client Order Comment</t>
        </is>
      </c>
      <c r="B11" s="31" t="inlineStr">
        <is>
          <t>Комментарий к заказу</t>
        </is>
      </c>
      <c r="C11" s="35" t="inlineStr">
        <is>
          <t>https://arositdepartment.atlassian.net/wiki/spaces/~ArosMarket/pages/330104833</t>
        </is>
      </c>
    </row>
    <row r="12">
      <c r="A12" s="31" t="inlineStr">
        <is>
          <t>Product Return</t>
        </is>
      </c>
      <c r="B12" s="31" t="inlineStr">
        <is>
          <t>Возвраты (админка)</t>
        </is>
      </c>
      <c r="C12" s="35" t="inlineStr">
        <is>
          <t>https://arositdepartment.atlassian.net/wiki/spaces/~ArosMarket/pages/298024961</t>
        </is>
      </c>
    </row>
    <row r="13">
      <c r="A13" s="31" t="inlineStr">
        <is>
          <t>Sales window</t>
        </is>
      </c>
      <c r="B13" s="31" t="inlineStr">
        <is>
          <t>Спецзаказ (Sotuv oynasi)</t>
        </is>
      </c>
      <c r="C13" s="35" t="inlineStr">
        <is>
          <t>https://arositdepartment.atlassian.net/wiki/spaces/~ArosMarket/pages/307167233</t>
        </is>
      </c>
    </row>
    <row r="14">
      <c r="A14" s="31" t="inlineStr">
        <is>
          <t>Mijoz rollari — narx turi</t>
        </is>
      </c>
      <c r="B14" s="31" t="inlineStr">
        <is>
          <t>Цены B2C/B2M/B2B по ролям</t>
        </is>
      </c>
      <c r="C14" s="35" t="inlineStr">
        <is>
          <t>https://arositdepartment.atlassian.net/wiki/spaces/~ArosMarket/pages/351404033</t>
        </is>
      </c>
    </row>
    <row r="15">
      <c r="A15" s="31" t="inlineStr">
        <is>
          <t>My Orders</t>
        </is>
      </c>
      <c r="B15" s="31" t="inlineStr">
        <is>
          <t>Мои заказы: вкладки, статусы, детали</t>
        </is>
      </c>
      <c r="C15" s="35" t="inlineStr">
        <is>
          <t>https://arositdepartment.atlassian.net/wiki/spaces/~ArosMarket/pages/282525697</t>
        </is>
      </c>
    </row>
    <row r="16">
      <c r="A16" s="31" t="inlineStr">
        <is>
          <t>My Wallet</t>
        </is>
      </c>
      <c r="B16" s="31" t="inlineStr">
        <is>
          <t>Мой кошелёк: сводка и статусы долга</t>
        </is>
      </c>
      <c r="C16" s="35" t="inlineStr">
        <is>
          <t>https://arositdepartment.atlassian.net/wiki/spaces/~ArosMarket/pages/233472001</t>
        </is>
      </c>
    </row>
    <row r="17">
      <c r="A17" s="31" t="inlineStr">
        <is>
          <t>Wallet transactions</t>
        </is>
      </c>
      <c r="B17" s="31" t="inlineStr">
        <is>
          <t>Транзакции кошелька (клиент)</t>
        </is>
      </c>
      <c r="C17" s="35" t="inlineStr">
        <is>
          <t>https://arositdepartment.atlassian.net/wiki/spaces/~ArosMarket/pages/277282818</t>
        </is>
      </c>
    </row>
    <row r="18">
      <c r="A18" s="31" t="inlineStr">
        <is>
          <t>Notifications</t>
        </is>
      </c>
      <c r="B18" s="31" t="inlineStr">
        <is>
          <t>Уведомления и напоминания о долге</t>
        </is>
      </c>
      <c r="C18" s="35" t="inlineStr">
        <is>
          <t>https://arositdepartment.atlassian.net/wiki/spaces/~ArosMarket/pages/233373697</t>
        </is>
      </c>
    </row>
    <row r="19">
      <c r="A19" s="31" t="inlineStr">
        <is>
          <t>Bo'lsa olar edim</t>
        </is>
      </c>
      <c r="B19" s="31" t="inlineStr">
        <is>
          <t>Кнопка «Хотел бы купить»</t>
        </is>
      </c>
      <c r="C19" s="35" t="inlineStr">
        <is>
          <t>https://arositdepartment.atlassian.net/wiki/spaces/~ArosMarket/pages/324927496</t>
        </is>
      </c>
    </row>
    <row r="20">
      <c r="A20" s="31" t="inlineStr">
        <is>
          <t>Hisobni o'chirish (AIDT-692)</t>
        </is>
      </c>
      <c r="B20" s="31" t="inlineStr">
        <is>
          <t>Проверки при удалении аккаунта</t>
        </is>
      </c>
      <c r="C20" s="35" t="inlineStr">
        <is>
          <t>https://arositdepartment.atlassian.net/wiki/spaces/~ArosMarket/pages/361005057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1" max="1"/>
    <col width="80" customWidth="1" min="2" max="2"/>
    <col width="55" customWidth="1" min="3" max="3"/>
    <col width="18" customWidth="1" min="4" max="4"/>
    <col width="18" customWidth="1" min="5" max="5"/>
  </cols>
  <sheetData>
    <row r="1">
      <c r="A1" s="40" t="inlineStr">
        <is>
          <t>ID</t>
        </is>
      </c>
      <c r="B1" s="40" t="inlineStr">
        <is>
          <t>Название</t>
        </is>
      </c>
      <c r="C1" s="40" t="inlineStr">
        <is>
          <t>Автотест (класс#метод)</t>
        </is>
      </c>
      <c r="D1" s="40" t="inlineStr">
        <is>
          <t>Известный дефект?</t>
        </is>
      </c>
      <c r="E1" s="40" t="inlineStr">
        <is>
          <t>Результат прогона</t>
        </is>
      </c>
    </row>
    <row r="2">
      <c r="A2" t="inlineStr">
        <is>
          <t>AUTH-X02</t>
        </is>
      </c>
      <c r="B2" t="inlineStr">
        <is>
          <t>Выход на странице профиля, открытой прямой ссылкой, не оставляет пустой экран</t>
        </is>
      </c>
      <c r="C2" t="inlineStr">
        <is>
          <t>storefront/auth/SessionTest#logoutFromDirectlyOpenedProfileDoesNotLeaveBlankPage</t>
        </is>
      </c>
      <c r="D2" t="inlineStr">
        <is>
          <t>Да</t>
        </is>
      </c>
      <c r="E2" t="inlineStr">
        <is>
          <t>Не выполнен</t>
        </is>
      </c>
    </row>
    <row r="3">
      <c r="A3" t="inlineStr">
        <is>
          <t>AUTH-X03</t>
        </is>
      </c>
      <c r="B3" t="inlineStr">
        <is>
          <t>Гостя со закрытой страницы переводят на вход/главную, а не оставляют на пустом экране</t>
        </is>
      </c>
      <c r="C3" t="inlineStr">
        <is>
          <t>storefront/auth/GuestAccessTest#guestOnPrivatePageIsRedirectedNotLeftBlank</t>
        </is>
      </c>
      <c r="D3" t="inlineStr">
        <is>
          <t>Да</t>
        </is>
      </c>
      <c r="E3" t="inlineStr">
        <is>
          <t>Не выполнен</t>
        </is>
      </c>
    </row>
    <row r="4">
      <c r="A4" t="inlineStr">
        <is>
          <t>CAT-X01</t>
        </is>
      </c>
      <c r="B4" t="inlineStr">
        <is>
          <t>В выдаче нет товаров с ценой «0 сум»</t>
        </is>
      </c>
      <c r="C4" t="inlineStr">
        <is>
          <t>storefront/catalog/CatalogTest#noZeroPriceProductsInResults</t>
        </is>
      </c>
      <c r="D4" t="inlineStr">
        <is>
          <t>Да</t>
        </is>
      </c>
      <c r="E4" t="inlineStr">
        <is>
          <t>Не выполнен</t>
        </is>
      </c>
    </row>
    <row r="5">
      <c r="A5" t="inlineStr">
        <is>
          <t>CAT-X02</t>
        </is>
      </c>
      <c r="B5" t="inlineStr">
        <is>
          <t>Пункты меню сортировки без орфографических ошибок</t>
        </is>
      </c>
      <c r="C5" t="inlineStr">
        <is>
          <t>storefront/catalog/CatalogTest#sortMenuHasNoTypos</t>
        </is>
      </c>
      <c r="D5" t="inlineStr">
        <is>
          <t>Да</t>
        </is>
      </c>
      <c r="E5" t="inlineStr">
        <is>
          <t>Не выполнен</t>
        </is>
      </c>
    </row>
    <row r="6">
      <c r="A6" t="inlineStr">
        <is>
          <t>FAV-X01</t>
        </is>
      </c>
      <c r="B6" t="inlineStr">
        <is>
          <t>Гость, нажав на «сердце» в шапке, видит окно входа</t>
        </is>
      </c>
      <c r="C6" t="inlineStr">
        <is>
          <t>storefront/header/HeaderFooterTest#guestClickingFavoritesSeesSignIn</t>
        </is>
      </c>
      <c r="D6" t="inlineStr">
        <is>
          <t>Нет</t>
        </is>
      </c>
      <c r="E6" t="inlineStr">
        <is>
          <t>Не выполнен</t>
        </is>
      </c>
    </row>
    <row r="7">
      <c r="A7" t="inlineStr">
        <is>
          <t>L10N-X01</t>
        </is>
      </c>
      <c r="B7" t="inlineStr">
        <is>
          <t>Фильтр цены в каталоге на /ru не содержит узбекских подписей «so'm»</t>
        </is>
      </c>
      <c r="C7" t="inlineStr">
        <is>
          <t>storefront/l10n/LocalizationTest#catalogPriceFilterLabelIsLocalized</t>
        </is>
      </c>
      <c r="D7" t="inlineStr">
        <is>
          <t>Да</t>
        </is>
      </c>
      <c r="E7" t="inlineStr">
        <is>
          <t>Не выполнен</t>
        </is>
      </c>
    </row>
    <row r="8">
      <c r="A8" t="inlineStr">
        <is>
          <t>L10N-X02</t>
        </is>
      </c>
      <c r="B8" t="inlineStr">
        <is>
          <t>Поле поиска в шапке на /ru имеет русский placeholder на всех страницах</t>
        </is>
      </c>
      <c r="C8" t="inlineStr">
        <is>
          <t>storefront/l10n/LocalizationTest#searchPlaceholderIsRussianOnCart</t>
        </is>
      </c>
      <c r="D8" t="inlineStr">
        <is>
          <t>Да</t>
        </is>
      </c>
      <c r="E8" t="inlineStr">
        <is>
          <t>Не выполнен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2026-10-28T18:24:04Z</dcterms:created>
  <dcterms:modified xsi:type="dcterms:W3CDTF">2026-10-29T14:58:33Z</dcterms:modified>
</cp:coreProperties>
</file>