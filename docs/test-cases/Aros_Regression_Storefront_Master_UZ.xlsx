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" sheetId="1" state="visible" r:id="rId1"/>
    <sheet name="Test-keyslar" sheetId="2" state="visible" r:id="rId2"/>
    <sheet name="Kamchiliklar" sheetId="3" state="visible" r:id="rId3"/>
    <sheet name="Manbalar" sheetId="4" state="visible" r:id="rId4"/>
  </sheets>
  <definedNames>
    <definedName name="_xlnm._FilterDatabase" localSheetId="1" hidden="1">'Test-keyslar'!$A$1:$Q$197</definedName>
    <definedName name="_xlnm.Print_Titles" localSheetId="1">'Test-keyslar'!$1:$1</definedName>
    <definedName name="_xlnm._FilterDatabase" localSheetId="2" hidden="1">'Kamchiliklar'!$A$1:$G$27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D32"/>
      <sz val="16"/>
    </font>
    <font>
      <name val="Arial"/>
      <i val="1"/>
      <color rgb="00616161"/>
      <sz val="10"/>
    </font>
    <font>
      <name val="Arial"/>
      <i val="1"/>
      <color rgb="009E9E9E"/>
      <sz val="9"/>
    </font>
    <font>
      <name val="Arial"/>
      <b val="1"/>
      <color rgb="002E7D32"/>
      <sz val="12"/>
    </font>
    <font>
      <name val="Arial"/>
      <i val="1"/>
      <color rgb="00616161"/>
      <sz val="9"/>
    </font>
    <font>
      <name val="Arial"/>
      <color rgb="001565C0"/>
      <sz val="10"/>
      <u val="single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12">
    <dxf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EF9A9A"/>
          <bgColor rgb="00EF9A9A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424242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</font>
      <fill>
        <patternFill patternType="solid">
          <fgColor rgb="00A5D6A7"/>
          <bgColor rgb="00A5D6A7"/>
        </patternFill>
      </fill>
    </dxf>
    <dxf>
      <font>
        <name val="Arial"/>
        <b val="1"/>
        <color rgb="00F57F17"/>
      </font>
      <fill>
        <patternFill patternType="solid">
          <fgColor rgb="00FFF59D"/>
          <bgColor rgb="00FFF59D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b val="1"/>
        <color rgb="00E65100"/>
      </font>
      <fill>
        <patternFill patternType="solid">
          <fgColor rgb="00FFCC80"/>
          <bgColor rgb="00FFCC80"/>
        </patternFill>
      </fill>
    </dxf>
    <dxf>
      <font>
        <name val="Arial"/>
        <b val="1"/>
        <color rgb="000D47A1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rositdepartment.atlassian.net/wiki/spaces/~ArosMarket/pages/354320395" TargetMode="External" Id="rId1" /><Relationship Type="http://schemas.openxmlformats.org/officeDocument/2006/relationships/hyperlink" Target="https://arositdepartment.atlassian.net/wiki/spaces/~ArosMarket/pages/305004559" TargetMode="External" Id="rId2" /><Relationship Type="http://schemas.openxmlformats.org/officeDocument/2006/relationships/hyperlink" Target="https://arositdepartment.atlassian.net/wiki/spaces/~ArosMarket/pages/346292227" TargetMode="External" Id="rId3" /><Relationship Type="http://schemas.openxmlformats.org/officeDocument/2006/relationships/hyperlink" Target="https://arositdepartment.atlassian.net/wiki/spaces/~ArosMarket/pages/292421633" TargetMode="External" Id="rId4" /><Relationship Type="http://schemas.openxmlformats.org/officeDocument/2006/relationships/hyperlink" Target="https://arositdepartment.atlassian.net/wiki/spaces/~ArosMarket/pages/324108289" TargetMode="External" Id="rId5" /><Relationship Type="http://schemas.openxmlformats.org/officeDocument/2006/relationships/hyperlink" Target="https://arositdepartment.atlassian.net/wiki/spaces/~ArosMarket/pages/354582529" TargetMode="External" Id="rId6" /><Relationship Type="http://schemas.openxmlformats.org/officeDocument/2006/relationships/hyperlink" Target="https://arositdepartment.atlassian.net/wiki/spaces/~ArosMarket/pages/317849606" TargetMode="External" Id="rId7" /><Relationship Type="http://schemas.openxmlformats.org/officeDocument/2006/relationships/hyperlink" Target="https://arositdepartment.atlassian.net/wiki/spaces/~ArosMarket/pages/340525071" TargetMode="External" Id="rId8" /><Relationship Type="http://schemas.openxmlformats.org/officeDocument/2006/relationships/hyperlink" Target="https://arositdepartment.atlassian.net/wiki/spaces/~ArosMarket/pages/319750146" TargetMode="External" Id="rId9" /><Relationship Type="http://schemas.openxmlformats.org/officeDocument/2006/relationships/hyperlink" Target="https://arositdepartment.atlassian.net/wiki/spaces/~ArosMarket/pages/330104833" TargetMode="External" Id="rId10" /><Relationship Type="http://schemas.openxmlformats.org/officeDocument/2006/relationships/hyperlink" Target="https://arositdepartment.atlassian.net/wiki/spaces/~ArosMarket/pages/298024961" TargetMode="External" Id="rId11" /><Relationship Type="http://schemas.openxmlformats.org/officeDocument/2006/relationships/hyperlink" Target="https://arositdepartment.atlassian.net/wiki/spaces/~ArosMarket/pages/307167233" TargetMode="External" Id="rId12" /><Relationship Type="http://schemas.openxmlformats.org/officeDocument/2006/relationships/hyperlink" Target="https://arositdepartment.atlassian.net/wiki/spaces/~ArosMarket/pages/351404033" TargetMode="External" Id="rId13" /><Relationship Type="http://schemas.openxmlformats.org/officeDocument/2006/relationships/hyperlink" Target="https://arositdepartment.atlassian.net/wiki/spaces/~ArosMarket/pages/282525697" TargetMode="External" Id="rId14" /><Relationship Type="http://schemas.openxmlformats.org/officeDocument/2006/relationships/hyperlink" Target="https://arositdepartment.atlassian.net/wiki/spaces/~ArosMarket/pages/233472001" TargetMode="External" Id="rId15" /><Relationship Type="http://schemas.openxmlformats.org/officeDocument/2006/relationships/hyperlink" Target="https://arositdepartment.atlassian.net/wiki/spaces/~ArosMarket/pages/277282818" TargetMode="External" Id="rId16" /><Relationship Type="http://schemas.openxmlformats.org/officeDocument/2006/relationships/hyperlink" Target="https://arositdepartment.atlassian.net/wiki/spaces/~ArosMarket/pages/233373697" TargetMode="External" Id="rId17" /><Relationship Type="http://schemas.openxmlformats.org/officeDocument/2006/relationships/hyperlink" Target="https://arositdepartment.atlassian.net/wiki/spaces/~ArosMarket/pages/324927496" TargetMode="External" Id="rId18" /><Relationship Type="http://schemas.openxmlformats.org/officeDocument/2006/relationships/hyperlink" Target="https://arositdepartment.atlassian.net/wiki/spaces/~ArosMarket/pages/361005057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12" customWidth="1" min="6" max="6"/>
    <col width="11" customWidth="1" min="7" max="7"/>
    <col width="9" customWidth="1" min="8" max="8"/>
    <col width="17" customWidth="1" min="9" max="9"/>
    <col width="13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Aros — vitrina uchun regression test-keyslar (rol: Usta)</t>
        </is>
      </c>
    </row>
    <row r="2">
      <c r="A2" s="2" t="inlineStr">
        <is>
          <t>Saytning mijoz qismi, UI. Confluence dagi PRD va staging bilan solishtirilgan (28.10.2026). Admin panel — alohida to'plam.</t>
        </is>
      </c>
    </row>
    <row r="4">
      <c r="A4" s="3" t="inlineStr">
        <is>
          <t>Muhit</t>
        </is>
      </c>
      <c r="B4" s="4" t="inlineStr">
        <is>
          <t>https://staging.aros.uz/uz</t>
        </is>
      </c>
    </row>
    <row r="5">
      <c r="A5" s="3" t="inlineStr">
        <is>
          <t>Rol</t>
        </is>
      </c>
      <c r="B5" s="4" t="inlineStr">
        <is>
          <t>Usta (Master)</t>
        </is>
      </c>
    </row>
    <row r="6">
      <c r="A6" s="3" t="inlineStr">
        <is>
          <t>Test akkaunti</t>
        </is>
      </c>
      <c r="B6" s="4" t="inlineStr">
        <is>
          <t>Login: +998998987882   Parol: Sh2004Sh</t>
        </is>
      </c>
    </row>
    <row r="7">
      <c r="A7" s="3" t="inlineStr">
        <is>
          <t>Hujjatlar</t>
        </is>
      </c>
      <c r="B7" s="4" t="inlineStr">
        <is>
          <t>Confluence → Aros Market (PRD); havolalar «Manbalar» varag'ida</t>
        </is>
      </c>
    </row>
    <row r="8">
      <c r="A8" s="3" t="inlineStr">
        <is>
          <t>Avtotestlar</t>
        </is>
      </c>
      <c r="B8" s="4" t="inlineStr">
        <is>
          <t>aros-ui repozitoriyasi: Java 21 + Playwright + JUnit5 + Allure</t>
        </is>
      </c>
    </row>
    <row r="9">
      <c r="A9" s="3" t="inlineStr">
        <is>
          <t>Reliz / versiya</t>
        </is>
      </c>
      <c r="B9" s="5" t="inlineStr"/>
      <c r="C9" s="6" t="n"/>
      <c r="D9" s="6" t="n"/>
      <c r="E9" s="6" t="n"/>
      <c r="F9" s="6" t="n"/>
      <c r="G9" s="6" t="n"/>
      <c r="H9" s="6" t="n"/>
      <c r="J9" s="7" t="inlineStr">
        <is>
          <t>← sariq maydonlar har bir progondan oldin to'ldiriladi</t>
        </is>
      </c>
    </row>
    <row r="10">
      <c r="A10" s="3" t="inlineStr">
        <is>
          <t>Progon sanasi</t>
        </is>
      </c>
      <c r="B10" s="5" t="inlineStr"/>
      <c r="C10" s="6" t="n"/>
      <c r="D10" s="6" t="n"/>
      <c r="E10" s="6" t="n"/>
      <c r="F10" s="6" t="n"/>
      <c r="G10" s="6" t="n"/>
      <c r="H10" s="6" t="n"/>
    </row>
    <row r="11">
      <c r="A11" s="3" t="inlineStr">
        <is>
          <t>Testchi</t>
        </is>
      </c>
      <c r="B11" s="5" t="inlineStr"/>
      <c r="C11" s="6" t="n"/>
      <c r="D11" s="6" t="n"/>
      <c r="E11" s="6" t="n"/>
      <c r="F11" s="6" t="n"/>
      <c r="G11" s="6" t="n"/>
      <c r="H11" s="6" t="n"/>
    </row>
    <row r="12">
      <c r="A12" s="8" t="inlineStr">
        <is>
          <t>Modullar bo'yicha qamrov</t>
        </is>
      </c>
    </row>
    <row r="13" ht="32" customHeight="1">
      <c r="A13" s="9" t="inlineStr">
        <is>
          <t>Modul</t>
        </is>
      </c>
      <c r="B13" s="9" t="inlineStr">
        <is>
          <t>Jami</t>
        </is>
      </c>
      <c r="C13" s="9" t="inlineStr">
        <is>
          <t>P1</t>
        </is>
      </c>
      <c r="D13" s="9" t="inlineStr">
        <is>
          <t>P2</t>
        </is>
      </c>
      <c r="E13" s="9" t="inlineStr">
        <is>
          <t>P3</t>
        </is>
      </c>
      <c r="F13" s="9" t="inlineStr">
        <is>
          <t>Avto mumkin: Ha</t>
        </is>
      </c>
      <c r="G13" s="9" t="inlineStr">
        <is>
          <t>Qisman</t>
        </is>
      </c>
      <c r="H13" s="9" t="inlineStr">
        <is>
          <t>Yo'q</t>
        </is>
      </c>
      <c r="I13" s="9" t="inlineStr">
        <is>
          <t>Avtomatlashtirilgan</t>
        </is>
      </c>
      <c r="J13" s="9" t="inlineStr">
        <is>
          <t>Avtotestlar qamrovi %</t>
        </is>
      </c>
      <c r="K13" s="9" t="inlineStr">
        <is>
          <t>Passed</t>
        </is>
      </c>
      <c r="L13" s="9" t="inlineStr">
        <is>
          <t>Failed</t>
        </is>
      </c>
      <c r="M13" s="9" t="inlineStr">
        <is>
          <t>Blocked</t>
        </is>
      </c>
      <c r="N13" s="9" t="inlineStr">
        <is>
          <t>Skipped</t>
        </is>
      </c>
      <c r="O13" s="9" t="inlineStr">
        <is>
          <t>Bajarilmagan</t>
        </is>
      </c>
    </row>
    <row r="14">
      <c r="A14" s="10" t="inlineStr">
        <is>
          <t>AUTH — Avtorizatsiya va sessiya</t>
        </is>
      </c>
      <c r="B14" s="11">
        <f>COUNTIF('Test-keyslar'!$B$2:$B$197,"Avtorizatsiya va sessiya")</f>
        <v/>
      </c>
      <c r="C14" s="11">
        <f>COUNTIFS('Test-keyslar'!$B$2:$B$197,"Avtorizatsiya va sessiya",'Test-keyslar'!$E$2:$E$197,"P1")</f>
        <v/>
      </c>
      <c r="D14" s="11">
        <f>COUNTIFS('Test-keyslar'!$B$2:$B$197,"Avtorizatsiya va sessiya",'Test-keyslar'!$E$2:$E$197,"P2")</f>
        <v/>
      </c>
      <c r="E14" s="11">
        <f>COUNTIFS('Test-keyslar'!$B$2:$B$197,"Avtorizatsiya va sessiya",'Test-keyslar'!$E$2:$E$197,"P3")</f>
        <v/>
      </c>
      <c r="F14" s="11">
        <f>COUNTIFS('Test-keyslar'!$B$2:$B$197,"Avtorizatsiya va sessiya",'Test-keyslar'!$L$2:$L$197,"Ha")</f>
        <v/>
      </c>
      <c r="G14" s="11">
        <f>COUNTIFS('Test-keyslar'!$B$2:$B$197,"Avtorizatsiya va sessiya",'Test-keyslar'!$L$2:$L$197,"Qisman")</f>
        <v/>
      </c>
      <c r="H14" s="11">
        <f>COUNTIFS('Test-keyslar'!$B$2:$B$197,"Avtorizatsiya va sessiya",'Test-keyslar'!$L$2:$L$197,"Yo'q")</f>
        <v/>
      </c>
      <c r="I14" s="11">
        <f>COUNTIFS('Test-keyslar'!$B$2:$B$197,"Avtorizatsiya va sessiya",'Test-keyslar'!$N$2:$N$197,"Avtomatlashtirilgan")</f>
        <v/>
      </c>
      <c r="J14" s="12">
        <f>IF(B14=0,0,I14/B14)</f>
        <v/>
      </c>
      <c r="K14" s="11">
        <f>COUNTIFS('Test-keyslar'!$B$2:$B$197,"Avtorizatsiya va sessiya",'Test-keyslar'!$P$2:$P$197,"Passed")</f>
        <v/>
      </c>
      <c r="L14" s="11">
        <f>COUNTIFS('Test-keyslar'!$B$2:$B$197,"Avtorizatsiya va sessiya",'Test-keyslar'!$P$2:$P$197,"Failed")</f>
        <v/>
      </c>
      <c r="M14" s="11">
        <f>COUNTIFS('Test-keyslar'!$B$2:$B$197,"Avtorizatsiya va sessiya",'Test-keyslar'!$P$2:$P$197,"Blocked")</f>
        <v/>
      </c>
      <c r="N14" s="11">
        <f>COUNTIFS('Test-keyslar'!$B$2:$B$197,"Avtorizatsiya va sessiya",'Test-keyslar'!$P$2:$P$197,"Skipped")</f>
        <v/>
      </c>
      <c r="O14" s="11">
        <f>COUNTIFS('Test-keyslar'!$B$2:$B$197,"Avtorizatsiya va sessiya",'Test-keyslar'!$P$2:$P$197,"Bajarilmagan")</f>
        <v/>
      </c>
    </row>
    <row r="15">
      <c r="A15" s="13" t="inlineStr">
        <is>
          <t>HDR — Sarlavha, futer va navigatsiya</t>
        </is>
      </c>
      <c r="B15" s="14">
        <f>COUNTIF('Test-keyslar'!$B$2:$B$197,"Sarlavha, futer va navigatsiya")</f>
        <v/>
      </c>
      <c r="C15" s="14">
        <f>COUNTIFS('Test-keyslar'!$B$2:$B$197,"Sarlavha, futer va navigatsiya",'Test-keyslar'!$E$2:$E$197,"P1")</f>
        <v/>
      </c>
      <c r="D15" s="14">
        <f>COUNTIFS('Test-keyslar'!$B$2:$B$197,"Sarlavha, futer va navigatsiya",'Test-keyslar'!$E$2:$E$197,"P2")</f>
        <v/>
      </c>
      <c r="E15" s="14">
        <f>COUNTIFS('Test-keyslar'!$B$2:$B$197,"Sarlavha, futer va navigatsiya",'Test-keyslar'!$E$2:$E$197,"P3")</f>
        <v/>
      </c>
      <c r="F15" s="14">
        <f>COUNTIFS('Test-keyslar'!$B$2:$B$197,"Sarlavha, futer va navigatsiya",'Test-keyslar'!$L$2:$L$197,"Ha")</f>
        <v/>
      </c>
      <c r="G15" s="14">
        <f>COUNTIFS('Test-keyslar'!$B$2:$B$197,"Sarlavha, futer va navigatsiya",'Test-keyslar'!$L$2:$L$197,"Qisman")</f>
        <v/>
      </c>
      <c r="H15" s="14">
        <f>COUNTIFS('Test-keyslar'!$B$2:$B$197,"Sarlavha, futer va navigatsiya",'Test-keyslar'!$L$2:$L$197,"Yo'q")</f>
        <v/>
      </c>
      <c r="I15" s="14">
        <f>COUNTIFS('Test-keyslar'!$B$2:$B$197,"Sarlavha, futer va navigatsiya",'Test-keyslar'!$N$2:$N$197,"Avtomatlashtirilgan")</f>
        <v/>
      </c>
      <c r="J15" s="15">
        <f>IF(B15=0,0,I15/B15)</f>
        <v/>
      </c>
      <c r="K15" s="14">
        <f>COUNTIFS('Test-keyslar'!$B$2:$B$197,"Sarlavha, futer va navigatsiya",'Test-keyslar'!$P$2:$P$197,"Passed")</f>
        <v/>
      </c>
      <c r="L15" s="14">
        <f>COUNTIFS('Test-keyslar'!$B$2:$B$197,"Sarlavha, futer va navigatsiya",'Test-keyslar'!$P$2:$P$197,"Failed")</f>
        <v/>
      </c>
      <c r="M15" s="14">
        <f>COUNTIFS('Test-keyslar'!$B$2:$B$197,"Sarlavha, futer va navigatsiya",'Test-keyslar'!$P$2:$P$197,"Blocked")</f>
        <v/>
      </c>
      <c r="N15" s="14">
        <f>COUNTIFS('Test-keyslar'!$B$2:$B$197,"Sarlavha, futer va navigatsiya",'Test-keyslar'!$P$2:$P$197,"Skipped")</f>
        <v/>
      </c>
      <c r="O15" s="14">
        <f>COUNTIFS('Test-keyslar'!$B$2:$B$197,"Sarlavha, futer va navigatsiya",'Test-keyslar'!$P$2:$P$197,"Bajarilmagan")</f>
        <v/>
      </c>
    </row>
    <row r="16">
      <c r="A16" s="10" t="inlineStr">
        <is>
          <t>HOME — Bosh sahifa</t>
        </is>
      </c>
      <c r="B16" s="11">
        <f>COUNTIF('Test-keyslar'!$B$2:$B$197,"Bosh sahifa")</f>
        <v/>
      </c>
      <c r="C16" s="11">
        <f>COUNTIFS('Test-keyslar'!$B$2:$B$197,"Bosh sahifa",'Test-keyslar'!$E$2:$E$197,"P1")</f>
        <v/>
      </c>
      <c r="D16" s="11">
        <f>COUNTIFS('Test-keyslar'!$B$2:$B$197,"Bosh sahifa",'Test-keyslar'!$E$2:$E$197,"P2")</f>
        <v/>
      </c>
      <c r="E16" s="11">
        <f>COUNTIFS('Test-keyslar'!$B$2:$B$197,"Bosh sahifa",'Test-keyslar'!$E$2:$E$197,"P3")</f>
        <v/>
      </c>
      <c r="F16" s="11">
        <f>COUNTIFS('Test-keyslar'!$B$2:$B$197,"Bosh sahifa",'Test-keyslar'!$L$2:$L$197,"Ha")</f>
        <v/>
      </c>
      <c r="G16" s="11">
        <f>COUNTIFS('Test-keyslar'!$B$2:$B$197,"Bosh sahifa",'Test-keyslar'!$L$2:$L$197,"Qisman")</f>
        <v/>
      </c>
      <c r="H16" s="11">
        <f>COUNTIFS('Test-keyslar'!$B$2:$B$197,"Bosh sahifa",'Test-keyslar'!$L$2:$L$197,"Yo'q")</f>
        <v/>
      </c>
      <c r="I16" s="11">
        <f>COUNTIFS('Test-keyslar'!$B$2:$B$197,"Bosh sahifa",'Test-keyslar'!$N$2:$N$197,"Avtomatlashtirilgan")</f>
        <v/>
      </c>
      <c r="J16" s="12">
        <f>IF(B16=0,0,I16/B16)</f>
        <v/>
      </c>
      <c r="K16" s="11">
        <f>COUNTIFS('Test-keyslar'!$B$2:$B$197,"Bosh sahifa",'Test-keyslar'!$P$2:$P$197,"Passed")</f>
        <v/>
      </c>
      <c r="L16" s="11">
        <f>COUNTIFS('Test-keyslar'!$B$2:$B$197,"Bosh sahifa",'Test-keyslar'!$P$2:$P$197,"Failed")</f>
        <v/>
      </c>
      <c r="M16" s="11">
        <f>COUNTIFS('Test-keyslar'!$B$2:$B$197,"Bosh sahifa",'Test-keyslar'!$P$2:$P$197,"Blocked")</f>
        <v/>
      </c>
      <c r="N16" s="11">
        <f>COUNTIFS('Test-keyslar'!$B$2:$B$197,"Bosh sahifa",'Test-keyslar'!$P$2:$P$197,"Skipped")</f>
        <v/>
      </c>
      <c r="O16" s="11">
        <f>COUNTIFS('Test-keyslar'!$B$2:$B$197,"Bosh sahifa",'Test-keyslar'!$P$2:$P$197,"Bajarilmagan")</f>
        <v/>
      </c>
    </row>
    <row r="17">
      <c r="A17" s="13" t="inlineStr">
        <is>
          <t>CAT — Katalog, kategoriyalar va filtrlar</t>
        </is>
      </c>
      <c r="B17" s="14">
        <f>COUNTIF('Test-keyslar'!$B$2:$B$197,"Katalog, kategoriyalar va filtrlar")</f>
        <v/>
      </c>
      <c r="C17" s="14">
        <f>COUNTIFS('Test-keyslar'!$B$2:$B$197,"Katalog, kategoriyalar va filtrlar",'Test-keyslar'!$E$2:$E$197,"P1")</f>
        <v/>
      </c>
      <c r="D17" s="14">
        <f>COUNTIFS('Test-keyslar'!$B$2:$B$197,"Katalog, kategoriyalar va filtrlar",'Test-keyslar'!$E$2:$E$197,"P2")</f>
        <v/>
      </c>
      <c r="E17" s="14">
        <f>COUNTIFS('Test-keyslar'!$B$2:$B$197,"Katalog, kategoriyalar va filtrlar",'Test-keyslar'!$E$2:$E$197,"P3")</f>
        <v/>
      </c>
      <c r="F17" s="14">
        <f>COUNTIFS('Test-keyslar'!$B$2:$B$197,"Katalog, kategoriyalar va filtrlar",'Test-keyslar'!$L$2:$L$197,"Ha")</f>
        <v/>
      </c>
      <c r="G17" s="14">
        <f>COUNTIFS('Test-keyslar'!$B$2:$B$197,"Katalog, kategoriyalar va filtrlar",'Test-keyslar'!$L$2:$L$197,"Qisman")</f>
        <v/>
      </c>
      <c r="H17" s="14">
        <f>COUNTIFS('Test-keyslar'!$B$2:$B$197,"Katalog, kategoriyalar va filtrlar",'Test-keyslar'!$L$2:$L$197,"Yo'q")</f>
        <v/>
      </c>
      <c r="I17" s="14">
        <f>COUNTIFS('Test-keyslar'!$B$2:$B$197,"Katalog, kategoriyalar va filtrlar",'Test-keyslar'!$N$2:$N$197,"Avtomatlashtirilgan")</f>
        <v/>
      </c>
      <c r="J17" s="15">
        <f>IF(B17=0,0,I17/B17)</f>
        <v/>
      </c>
      <c r="K17" s="14">
        <f>COUNTIFS('Test-keyslar'!$B$2:$B$197,"Katalog, kategoriyalar va filtrlar",'Test-keyslar'!$P$2:$P$197,"Passed")</f>
        <v/>
      </c>
      <c r="L17" s="14">
        <f>COUNTIFS('Test-keyslar'!$B$2:$B$197,"Katalog, kategoriyalar va filtrlar",'Test-keyslar'!$P$2:$P$197,"Failed")</f>
        <v/>
      </c>
      <c r="M17" s="14">
        <f>COUNTIFS('Test-keyslar'!$B$2:$B$197,"Katalog, kategoriyalar va filtrlar",'Test-keyslar'!$P$2:$P$197,"Blocked")</f>
        <v/>
      </c>
      <c r="N17" s="14">
        <f>COUNTIFS('Test-keyslar'!$B$2:$B$197,"Katalog, kategoriyalar va filtrlar",'Test-keyslar'!$P$2:$P$197,"Skipped")</f>
        <v/>
      </c>
      <c r="O17" s="14">
        <f>COUNTIFS('Test-keyslar'!$B$2:$B$197,"Katalog, kategoriyalar va filtrlar",'Test-keyslar'!$P$2:$P$197,"Bajarilmagan")</f>
        <v/>
      </c>
    </row>
    <row r="18">
      <c r="A18" s="10" t="inlineStr">
        <is>
          <t>MDL — Qurilma modeli bo'yicha tanlash</t>
        </is>
      </c>
      <c r="B18" s="11">
        <f>COUNTIF('Test-keyslar'!$B$2:$B$197,"Qurilma modeli bo'yicha tanlash")</f>
        <v/>
      </c>
      <c r="C18" s="11">
        <f>COUNTIFS('Test-keyslar'!$B$2:$B$197,"Qurilma modeli bo'yicha tanlash",'Test-keyslar'!$E$2:$E$197,"P1")</f>
        <v/>
      </c>
      <c r="D18" s="11">
        <f>COUNTIFS('Test-keyslar'!$B$2:$B$197,"Qurilma modeli bo'yicha tanlash",'Test-keyslar'!$E$2:$E$197,"P2")</f>
        <v/>
      </c>
      <c r="E18" s="11">
        <f>COUNTIFS('Test-keyslar'!$B$2:$B$197,"Qurilma modeli bo'yicha tanlash",'Test-keyslar'!$E$2:$E$197,"P3")</f>
        <v/>
      </c>
      <c r="F18" s="11">
        <f>COUNTIFS('Test-keyslar'!$B$2:$B$197,"Qurilma modeli bo'yicha tanlash",'Test-keyslar'!$L$2:$L$197,"Ha")</f>
        <v/>
      </c>
      <c r="G18" s="11">
        <f>COUNTIFS('Test-keyslar'!$B$2:$B$197,"Qurilma modeli bo'yicha tanlash",'Test-keyslar'!$L$2:$L$197,"Qisman")</f>
        <v/>
      </c>
      <c r="H18" s="11">
        <f>COUNTIFS('Test-keyslar'!$B$2:$B$197,"Qurilma modeli bo'yicha tanlash",'Test-keyslar'!$L$2:$L$197,"Yo'q")</f>
        <v/>
      </c>
      <c r="I18" s="11">
        <f>COUNTIFS('Test-keyslar'!$B$2:$B$197,"Qurilma modeli bo'yicha tanlash",'Test-keyslar'!$N$2:$N$197,"Avtomatlashtirilgan")</f>
        <v/>
      </c>
      <c r="J18" s="12">
        <f>IF(B18=0,0,I18/B18)</f>
        <v/>
      </c>
      <c r="K18" s="11">
        <f>COUNTIFS('Test-keyslar'!$B$2:$B$197,"Qurilma modeli bo'yicha tanlash",'Test-keyslar'!$P$2:$P$197,"Passed")</f>
        <v/>
      </c>
      <c r="L18" s="11">
        <f>COUNTIFS('Test-keyslar'!$B$2:$B$197,"Qurilma modeli bo'yicha tanlash",'Test-keyslar'!$P$2:$P$197,"Failed")</f>
        <v/>
      </c>
      <c r="M18" s="11">
        <f>COUNTIFS('Test-keyslar'!$B$2:$B$197,"Qurilma modeli bo'yicha tanlash",'Test-keyslar'!$P$2:$P$197,"Blocked")</f>
        <v/>
      </c>
      <c r="N18" s="11">
        <f>COUNTIFS('Test-keyslar'!$B$2:$B$197,"Qurilma modeli bo'yicha tanlash",'Test-keyslar'!$P$2:$P$197,"Skipped")</f>
        <v/>
      </c>
      <c r="O18" s="11">
        <f>COUNTIFS('Test-keyslar'!$B$2:$B$197,"Qurilma modeli bo'yicha tanlash",'Test-keyslar'!$P$2:$P$197,"Bajarilmagan")</f>
        <v/>
      </c>
    </row>
    <row r="19">
      <c r="A19" s="13" t="inlineStr">
        <is>
          <t>SRCH — Qidiruv</t>
        </is>
      </c>
      <c r="B19" s="14">
        <f>COUNTIF('Test-keyslar'!$B$2:$B$197,"Qidiruv")</f>
        <v/>
      </c>
      <c r="C19" s="14">
        <f>COUNTIFS('Test-keyslar'!$B$2:$B$197,"Qidiruv",'Test-keyslar'!$E$2:$E$197,"P1")</f>
        <v/>
      </c>
      <c r="D19" s="14">
        <f>COUNTIFS('Test-keyslar'!$B$2:$B$197,"Qidiruv",'Test-keyslar'!$E$2:$E$197,"P2")</f>
        <v/>
      </c>
      <c r="E19" s="14">
        <f>COUNTIFS('Test-keyslar'!$B$2:$B$197,"Qidiruv",'Test-keyslar'!$E$2:$E$197,"P3")</f>
        <v/>
      </c>
      <c r="F19" s="14">
        <f>COUNTIFS('Test-keyslar'!$B$2:$B$197,"Qidiruv",'Test-keyslar'!$L$2:$L$197,"Ha")</f>
        <v/>
      </c>
      <c r="G19" s="14">
        <f>COUNTIFS('Test-keyslar'!$B$2:$B$197,"Qidiruv",'Test-keyslar'!$L$2:$L$197,"Qisman")</f>
        <v/>
      </c>
      <c r="H19" s="14">
        <f>COUNTIFS('Test-keyslar'!$B$2:$B$197,"Qidiruv",'Test-keyslar'!$L$2:$L$197,"Yo'q")</f>
        <v/>
      </c>
      <c r="I19" s="14">
        <f>COUNTIFS('Test-keyslar'!$B$2:$B$197,"Qidiruv",'Test-keyslar'!$N$2:$N$197,"Avtomatlashtirilgan")</f>
        <v/>
      </c>
      <c r="J19" s="15">
        <f>IF(B19=0,0,I19/B19)</f>
        <v/>
      </c>
      <c r="K19" s="14">
        <f>COUNTIFS('Test-keyslar'!$B$2:$B$197,"Qidiruv",'Test-keyslar'!$P$2:$P$197,"Passed")</f>
        <v/>
      </c>
      <c r="L19" s="14">
        <f>COUNTIFS('Test-keyslar'!$B$2:$B$197,"Qidiruv",'Test-keyslar'!$P$2:$P$197,"Failed")</f>
        <v/>
      </c>
      <c r="M19" s="14">
        <f>COUNTIFS('Test-keyslar'!$B$2:$B$197,"Qidiruv",'Test-keyslar'!$P$2:$P$197,"Blocked")</f>
        <v/>
      </c>
      <c r="N19" s="14">
        <f>COUNTIFS('Test-keyslar'!$B$2:$B$197,"Qidiruv",'Test-keyslar'!$P$2:$P$197,"Skipped")</f>
        <v/>
      </c>
      <c r="O19" s="14">
        <f>COUNTIFS('Test-keyslar'!$B$2:$B$197,"Qidiruv",'Test-keyslar'!$P$2:$P$197,"Bajarilmagan")</f>
        <v/>
      </c>
    </row>
    <row r="20">
      <c r="A20" s="10" t="inlineStr">
        <is>
          <t>PDP — Mahsulot sahifasi</t>
        </is>
      </c>
      <c r="B20" s="11">
        <f>COUNTIF('Test-keyslar'!$B$2:$B$197,"Mahsulot sahifasi")</f>
        <v/>
      </c>
      <c r="C20" s="11">
        <f>COUNTIFS('Test-keyslar'!$B$2:$B$197,"Mahsulot sahifasi",'Test-keyslar'!$E$2:$E$197,"P1")</f>
        <v/>
      </c>
      <c r="D20" s="11">
        <f>COUNTIFS('Test-keyslar'!$B$2:$B$197,"Mahsulot sahifasi",'Test-keyslar'!$E$2:$E$197,"P2")</f>
        <v/>
      </c>
      <c r="E20" s="11">
        <f>COUNTIFS('Test-keyslar'!$B$2:$B$197,"Mahsulot sahifasi",'Test-keyslar'!$E$2:$E$197,"P3")</f>
        <v/>
      </c>
      <c r="F20" s="11">
        <f>COUNTIFS('Test-keyslar'!$B$2:$B$197,"Mahsulot sahifasi",'Test-keyslar'!$L$2:$L$197,"Ha")</f>
        <v/>
      </c>
      <c r="G20" s="11">
        <f>COUNTIFS('Test-keyslar'!$B$2:$B$197,"Mahsulot sahifasi",'Test-keyslar'!$L$2:$L$197,"Qisman")</f>
        <v/>
      </c>
      <c r="H20" s="11">
        <f>COUNTIFS('Test-keyslar'!$B$2:$B$197,"Mahsulot sahifasi",'Test-keyslar'!$L$2:$L$197,"Yo'q")</f>
        <v/>
      </c>
      <c r="I20" s="11">
        <f>COUNTIFS('Test-keyslar'!$B$2:$B$197,"Mahsulot sahifasi",'Test-keyslar'!$N$2:$N$197,"Avtomatlashtirilgan")</f>
        <v/>
      </c>
      <c r="J20" s="12">
        <f>IF(B20=0,0,I20/B20)</f>
        <v/>
      </c>
      <c r="K20" s="11">
        <f>COUNTIFS('Test-keyslar'!$B$2:$B$197,"Mahsulot sahifasi",'Test-keyslar'!$P$2:$P$197,"Passed")</f>
        <v/>
      </c>
      <c r="L20" s="11">
        <f>COUNTIFS('Test-keyslar'!$B$2:$B$197,"Mahsulot sahifasi",'Test-keyslar'!$P$2:$P$197,"Failed")</f>
        <v/>
      </c>
      <c r="M20" s="11">
        <f>COUNTIFS('Test-keyslar'!$B$2:$B$197,"Mahsulot sahifasi",'Test-keyslar'!$P$2:$P$197,"Blocked")</f>
        <v/>
      </c>
      <c r="N20" s="11">
        <f>COUNTIFS('Test-keyslar'!$B$2:$B$197,"Mahsulot sahifasi",'Test-keyslar'!$P$2:$P$197,"Skipped")</f>
        <v/>
      </c>
      <c r="O20" s="11">
        <f>COUNTIFS('Test-keyslar'!$B$2:$B$197,"Mahsulot sahifasi",'Test-keyslar'!$P$2:$P$197,"Bajarilmagan")</f>
        <v/>
      </c>
    </row>
    <row r="21">
      <c r="A21" s="13" t="inlineStr">
        <is>
          <t>FAV — Sevimlilar</t>
        </is>
      </c>
      <c r="B21" s="14">
        <f>COUNTIF('Test-keyslar'!$B$2:$B$197,"Sevimlilar")</f>
        <v/>
      </c>
      <c r="C21" s="14">
        <f>COUNTIFS('Test-keyslar'!$B$2:$B$197,"Sevimlilar",'Test-keyslar'!$E$2:$E$197,"P1")</f>
        <v/>
      </c>
      <c r="D21" s="14">
        <f>COUNTIFS('Test-keyslar'!$B$2:$B$197,"Sevimlilar",'Test-keyslar'!$E$2:$E$197,"P2")</f>
        <v/>
      </c>
      <c r="E21" s="14">
        <f>COUNTIFS('Test-keyslar'!$B$2:$B$197,"Sevimlilar",'Test-keyslar'!$E$2:$E$197,"P3")</f>
        <v/>
      </c>
      <c r="F21" s="14">
        <f>COUNTIFS('Test-keyslar'!$B$2:$B$197,"Sevimlilar",'Test-keyslar'!$L$2:$L$197,"Ha")</f>
        <v/>
      </c>
      <c r="G21" s="14">
        <f>COUNTIFS('Test-keyslar'!$B$2:$B$197,"Sevimlilar",'Test-keyslar'!$L$2:$L$197,"Qisman")</f>
        <v/>
      </c>
      <c r="H21" s="14">
        <f>COUNTIFS('Test-keyslar'!$B$2:$B$197,"Sevimlilar",'Test-keyslar'!$L$2:$L$197,"Yo'q")</f>
        <v/>
      </c>
      <c r="I21" s="14">
        <f>COUNTIFS('Test-keyslar'!$B$2:$B$197,"Sevimlilar",'Test-keyslar'!$N$2:$N$197,"Avtomatlashtirilgan")</f>
        <v/>
      </c>
      <c r="J21" s="15">
        <f>IF(B21=0,0,I21/B21)</f>
        <v/>
      </c>
      <c r="K21" s="14">
        <f>COUNTIFS('Test-keyslar'!$B$2:$B$197,"Sevimlilar",'Test-keyslar'!$P$2:$P$197,"Passed")</f>
        <v/>
      </c>
      <c r="L21" s="14">
        <f>COUNTIFS('Test-keyslar'!$B$2:$B$197,"Sevimlilar",'Test-keyslar'!$P$2:$P$197,"Failed")</f>
        <v/>
      </c>
      <c r="M21" s="14">
        <f>COUNTIFS('Test-keyslar'!$B$2:$B$197,"Sevimlilar",'Test-keyslar'!$P$2:$P$197,"Blocked")</f>
        <v/>
      </c>
      <c r="N21" s="14">
        <f>COUNTIFS('Test-keyslar'!$B$2:$B$197,"Sevimlilar",'Test-keyslar'!$P$2:$P$197,"Skipped")</f>
        <v/>
      </c>
      <c r="O21" s="14">
        <f>COUNTIFS('Test-keyslar'!$B$2:$B$197,"Sevimlilar",'Test-keyslar'!$P$2:$P$197,"Bajarilmagan")</f>
        <v/>
      </c>
    </row>
    <row r="22">
      <c r="A22" s="10" t="inlineStr">
        <is>
          <t>CART — Savat</t>
        </is>
      </c>
      <c r="B22" s="11">
        <f>COUNTIF('Test-keyslar'!$B$2:$B$197,"Savat")</f>
        <v/>
      </c>
      <c r="C22" s="11">
        <f>COUNTIFS('Test-keyslar'!$B$2:$B$197,"Savat",'Test-keyslar'!$E$2:$E$197,"P1")</f>
        <v/>
      </c>
      <c r="D22" s="11">
        <f>COUNTIFS('Test-keyslar'!$B$2:$B$197,"Savat",'Test-keyslar'!$E$2:$E$197,"P2")</f>
        <v/>
      </c>
      <c r="E22" s="11">
        <f>COUNTIFS('Test-keyslar'!$B$2:$B$197,"Savat",'Test-keyslar'!$E$2:$E$197,"P3")</f>
        <v/>
      </c>
      <c r="F22" s="11">
        <f>COUNTIFS('Test-keyslar'!$B$2:$B$197,"Savat",'Test-keyslar'!$L$2:$L$197,"Ha")</f>
        <v/>
      </c>
      <c r="G22" s="11">
        <f>COUNTIFS('Test-keyslar'!$B$2:$B$197,"Savat",'Test-keyslar'!$L$2:$L$197,"Qisman")</f>
        <v/>
      </c>
      <c r="H22" s="11">
        <f>COUNTIFS('Test-keyslar'!$B$2:$B$197,"Savat",'Test-keyslar'!$L$2:$L$197,"Yo'q")</f>
        <v/>
      </c>
      <c r="I22" s="11">
        <f>COUNTIFS('Test-keyslar'!$B$2:$B$197,"Savat",'Test-keyslar'!$N$2:$N$197,"Avtomatlashtirilgan")</f>
        <v/>
      </c>
      <c r="J22" s="12">
        <f>IF(B22=0,0,I22/B22)</f>
        <v/>
      </c>
      <c r="K22" s="11">
        <f>COUNTIFS('Test-keyslar'!$B$2:$B$197,"Savat",'Test-keyslar'!$P$2:$P$197,"Passed")</f>
        <v/>
      </c>
      <c r="L22" s="11">
        <f>COUNTIFS('Test-keyslar'!$B$2:$B$197,"Savat",'Test-keyslar'!$P$2:$P$197,"Failed")</f>
        <v/>
      </c>
      <c r="M22" s="11">
        <f>COUNTIFS('Test-keyslar'!$B$2:$B$197,"Savat",'Test-keyslar'!$P$2:$P$197,"Blocked")</f>
        <v/>
      </c>
      <c r="N22" s="11">
        <f>COUNTIFS('Test-keyslar'!$B$2:$B$197,"Savat",'Test-keyslar'!$P$2:$P$197,"Skipped")</f>
        <v/>
      </c>
      <c r="O22" s="11">
        <f>COUNTIFS('Test-keyslar'!$B$2:$B$197,"Savat",'Test-keyslar'!$P$2:$P$197,"Bajarilmagan")</f>
        <v/>
      </c>
    </row>
    <row r="23">
      <c r="A23" s="13" t="inlineStr">
        <is>
          <t>CHK — Buyurtmani rasmiylashtirish</t>
        </is>
      </c>
      <c r="B23" s="14">
        <f>COUNTIF('Test-keyslar'!$B$2:$B$197,"Buyurtmani rasmiylashtirish")</f>
        <v/>
      </c>
      <c r="C23" s="14">
        <f>COUNTIFS('Test-keyslar'!$B$2:$B$197,"Buyurtmani rasmiylashtirish",'Test-keyslar'!$E$2:$E$197,"P1")</f>
        <v/>
      </c>
      <c r="D23" s="14">
        <f>COUNTIFS('Test-keyslar'!$B$2:$B$197,"Buyurtmani rasmiylashtirish",'Test-keyslar'!$E$2:$E$197,"P2")</f>
        <v/>
      </c>
      <c r="E23" s="14">
        <f>COUNTIFS('Test-keyslar'!$B$2:$B$197,"Buyurtmani rasmiylashtirish",'Test-keyslar'!$E$2:$E$197,"P3")</f>
        <v/>
      </c>
      <c r="F23" s="14">
        <f>COUNTIFS('Test-keyslar'!$B$2:$B$197,"Buyurtmani rasmiylashtirish",'Test-keyslar'!$L$2:$L$197,"Ha")</f>
        <v/>
      </c>
      <c r="G23" s="14">
        <f>COUNTIFS('Test-keyslar'!$B$2:$B$197,"Buyurtmani rasmiylashtirish",'Test-keyslar'!$L$2:$L$197,"Qisman")</f>
        <v/>
      </c>
      <c r="H23" s="14">
        <f>COUNTIFS('Test-keyslar'!$B$2:$B$197,"Buyurtmani rasmiylashtirish",'Test-keyslar'!$L$2:$L$197,"Yo'q")</f>
        <v/>
      </c>
      <c r="I23" s="14">
        <f>COUNTIFS('Test-keyslar'!$B$2:$B$197,"Buyurtmani rasmiylashtirish",'Test-keyslar'!$N$2:$N$197,"Avtomatlashtirilgan")</f>
        <v/>
      </c>
      <c r="J23" s="15">
        <f>IF(B23=0,0,I23/B23)</f>
        <v/>
      </c>
      <c r="K23" s="14">
        <f>COUNTIFS('Test-keyslar'!$B$2:$B$197,"Buyurtmani rasmiylashtirish",'Test-keyslar'!$P$2:$P$197,"Passed")</f>
        <v/>
      </c>
      <c r="L23" s="14">
        <f>COUNTIFS('Test-keyslar'!$B$2:$B$197,"Buyurtmani rasmiylashtirish",'Test-keyslar'!$P$2:$P$197,"Failed")</f>
        <v/>
      </c>
      <c r="M23" s="14">
        <f>COUNTIFS('Test-keyslar'!$B$2:$B$197,"Buyurtmani rasmiylashtirish",'Test-keyslar'!$P$2:$P$197,"Blocked")</f>
        <v/>
      </c>
      <c r="N23" s="14">
        <f>COUNTIFS('Test-keyslar'!$B$2:$B$197,"Buyurtmani rasmiylashtirish",'Test-keyslar'!$P$2:$P$197,"Skipped")</f>
        <v/>
      </c>
      <c r="O23" s="14">
        <f>COUNTIFS('Test-keyslar'!$B$2:$B$197,"Buyurtmani rasmiylashtirish",'Test-keyslar'!$P$2:$P$197,"Bajarilmagan")</f>
        <v/>
      </c>
    </row>
    <row r="24">
      <c r="A24" s="10" t="inlineStr">
        <is>
          <t>ORD — Mening buyurtmalarim</t>
        </is>
      </c>
      <c r="B24" s="11">
        <f>COUNTIF('Test-keyslar'!$B$2:$B$197,"Mening buyurtmalarim")</f>
        <v/>
      </c>
      <c r="C24" s="11">
        <f>COUNTIFS('Test-keyslar'!$B$2:$B$197,"Mening buyurtmalarim",'Test-keyslar'!$E$2:$E$197,"P1")</f>
        <v/>
      </c>
      <c r="D24" s="11">
        <f>COUNTIFS('Test-keyslar'!$B$2:$B$197,"Mening buyurtmalarim",'Test-keyslar'!$E$2:$E$197,"P2")</f>
        <v/>
      </c>
      <c r="E24" s="11">
        <f>COUNTIFS('Test-keyslar'!$B$2:$B$197,"Mening buyurtmalarim",'Test-keyslar'!$E$2:$E$197,"P3")</f>
        <v/>
      </c>
      <c r="F24" s="11">
        <f>COUNTIFS('Test-keyslar'!$B$2:$B$197,"Mening buyurtmalarim",'Test-keyslar'!$L$2:$L$197,"Ha")</f>
        <v/>
      </c>
      <c r="G24" s="11">
        <f>COUNTIFS('Test-keyslar'!$B$2:$B$197,"Mening buyurtmalarim",'Test-keyslar'!$L$2:$L$197,"Qisman")</f>
        <v/>
      </c>
      <c r="H24" s="11">
        <f>COUNTIFS('Test-keyslar'!$B$2:$B$197,"Mening buyurtmalarim",'Test-keyslar'!$L$2:$L$197,"Yo'q")</f>
        <v/>
      </c>
      <c r="I24" s="11">
        <f>COUNTIFS('Test-keyslar'!$B$2:$B$197,"Mening buyurtmalarim",'Test-keyslar'!$N$2:$N$197,"Avtomatlashtirilgan")</f>
        <v/>
      </c>
      <c r="J24" s="12">
        <f>IF(B24=0,0,I24/B24)</f>
        <v/>
      </c>
      <c r="K24" s="11">
        <f>COUNTIFS('Test-keyslar'!$B$2:$B$197,"Mening buyurtmalarim",'Test-keyslar'!$P$2:$P$197,"Passed")</f>
        <v/>
      </c>
      <c r="L24" s="11">
        <f>COUNTIFS('Test-keyslar'!$B$2:$B$197,"Mening buyurtmalarim",'Test-keyslar'!$P$2:$P$197,"Failed")</f>
        <v/>
      </c>
      <c r="M24" s="11">
        <f>COUNTIFS('Test-keyslar'!$B$2:$B$197,"Mening buyurtmalarim",'Test-keyslar'!$P$2:$P$197,"Blocked")</f>
        <v/>
      </c>
      <c r="N24" s="11">
        <f>COUNTIFS('Test-keyslar'!$B$2:$B$197,"Mening buyurtmalarim",'Test-keyslar'!$P$2:$P$197,"Skipped")</f>
        <v/>
      </c>
      <c r="O24" s="11">
        <f>COUNTIFS('Test-keyslar'!$B$2:$B$197,"Mening buyurtmalarim",'Test-keyslar'!$P$2:$P$197,"Bajarilmagan")</f>
        <v/>
      </c>
    </row>
    <row r="25">
      <c r="A25" s="13" t="inlineStr">
        <is>
          <t>PRF — Shaxsiy ma'lumotlar va manzillar</t>
        </is>
      </c>
      <c r="B25" s="14">
        <f>COUNTIF('Test-keyslar'!$B$2:$B$197,"Shaxsiy ma'lumotlar va manzillar")</f>
        <v/>
      </c>
      <c r="C25" s="14">
        <f>COUNTIFS('Test-keyslar'!$B$2:$B$197,"Shaxsiy ma'lumotlar va manzillar",'Test-keyslar'!$E$2:$E$197,"P1")</f>
        <v/>
      </c>
      <c r="D25" s="14">
        <f>COUNTIFS('Test-keyslar'!$B$2:$B$197,"Shaxsiy ma'lumotlar va manzillar",'Test-keyslar'!$E$2:$E$197,"P2")</f>
        <v/>
      </c>
      <c r="E25" s="14">
        <f>COUNTIFS('Test-keyslar'!$B$2:$B$197,"Shaxsiy ma'lumotlar va manzillar",'Test-keyslar'!$E$2:$E$197,"P3")</f>
        <v/>
      </c>
      <c r="F25" s="14">
        <f>COUNTIFS('Test-keyslar'!$B$2:$B$197,"Shaxsiy ma'lumotlar va manzillar",'Test-keyslar'!$L$2:$L$197,"Ha")</f>
        <v/>
      </c>
      <c r="G25" s="14">
        <f>COUNTIFS('Test-keyslar'!$B$2:$B$197,"Shaxsiy ma'lumotlar va manzillar",'Test-keyslar'!$L$2:$L$197,"Qisman")</f>
        <v/>
      </c>
      <c r="H25" s="14">
        <f>COUNTIFS('Test-keyslar'!$B$2:$B$197,"Shaxsiy ma'lumotlar va manzillar",'Test-keyslar'!$L$2:$L$197,"Yo'q")</f>
        <v/>
      </c>
      <c r="I25" s="14">
        <f>COUNTIFS('Test-keyslar'!$B$2:$B$197,"Shaxsiy ma'lumotlar va manzillar",'Test-keyslar'!$N$2:$N$197,"Avtomatlashtirilgan")</f>
        <v/>
      </c>
      <c r="J25" s="15">
        <f>IF(B25=0,0,I25/B25)</f>
        <v/>
      </c>
      <c r="K25" s="14">
        <f>COUNTIFS('Test-keyslar'!$B$2:$B$197,"Shaxsiy ma'lumotlar va manzillar",'Test-keyslar'!$P$2:$P$197,"Passed")</f>
        <v/>
      </c>
      <c r="L25" s="14">
        <f>COUNTIFS('Test-keyslar'!$B$2:$B$197,"Shaxsiy ma'lumotlar va manzillar",'Test-keyslar'!$P$2:$P$197,"Failed")</f>
        <v/>
      </c>
      <c r="M25" s="14">
        <f>COUNTIFS('Test-keyslar'!$B$2:$B$197,"Shaxsiy ma'lumotlar va manzillar",'Test-keyslar'!$P$2:$P$197,"Blocked")</f>
        <v/>
      </c>
      <c r="N25" s="14">
        <f>COUNTIFS('Test-keyslar'!$B$2:$B$197,"Shaxsiy ma'lumotlar va manzillar",'Test-keyslar'!$P$2:$P$197,"Skipped")</f>
        <v/>
      </c>
      <c r="O25" s="14">
        <f>COUNTIFS('Test-keyslar'!$B$2:$B$197,"Shaxsiy ma'lumotlar va manzillar",'Test-keyslar'!$P$2:$P$197,"Bajarilmagan")</f>
        <v/>
      </c>
    </row>
    <row r="26">
      <c r="A26" s="10" t="inlineStr">
        <is>
          <t>PTS — Ballar</t>
        </is>
      </c>
      <c r="B26" s="11">
        <f>COUNTIF('Test-keyslar'!$B$2:$B$197,"Ballar")</f>
        <v/>
      </c>
      <c r="C26" s="11">
        <f>COUNTIFS('Test-keyslar'!$B$2:$B$197,"Ballar",'Test-keyslar'!$E$2:$E$197,"P1")</f>
        <v/>
      </c>
      <c r="D26" s="11">
        <f>COUNTIFS('Test-keyslar'!$B$2:$B$197,"Ballar",'Test-keyslar'!$E$2:$E$197,"P2")</f>
        <v/>
      </c>
      <c r="E26" s="11">
        <f>COUNTIFS('Test-keyslar'!$B$2:$B$197,"Ballar",'Test-keyslar'!$E$2:$E$197,"P3")</f>
        <v/>
      </c>
      <c r="F26" s="11">
        <f>COUNTIFS('Test-keyslar'!$B$2:$B$197,"Ballar",'Test-keyslar'!$L$2:$L$197,"Ha")</f>
        <v/>
      </c>
      <c r="G26" s="11">
        <f>COUNTIFS('Test-keyslar'!$B$2:$B$197,"Ballar",'Test-keyslar'!$L$2:$L$197,"Qisman")</f>
        <v/>
      </c>
      <c r="H26" s="11">
        <f>COUNTIFS('Test-keyslar'!$B$2:$B$197,"Ballar",'Test-keyslar'!$L$2:$L$197,"Yo'q")</f>
        <v/>
      </c>
      <c r="I26" s="11">
        <f>COUNTIFS('Test-keyslar'!$B$2:$B$197,"Ballar",'Test-keyslar'!$N$2:$N$197,"Avtomatlashtirilgan")</f>
        <v/>
      </c>
      <c r="J26" s="12">
        <f>IF(B26=0,0,I26/B26)</f>
        <v/>
      </c>
      <c r="K26" s="11">
        <f>COUNTIFS('Test-keyslar'!$B$2:$B$197,"Ballar",'Test-keyslar'!$P$2:$P$197,"Passed")</f>
        <v/>
      </c>
      <c r="L26" s="11">
        <f>COUNTIFS('Test-keyslar'!$B$2:$B$197,"Ballar",'Test-keyslar'!$P$2:$P$197,"Failed")</f>
        <v/>
      </c>
      <c r="M26" s="11">
        <f>COUNTIFS('Test-keyslar'!$B$2:$B$197,"Ballar",'Test-keyslar'!$P$2:$P$197,"Blocked")</f>
        <v/>
      </c>
      <c r="N26" s="11">
        <f>COUNTIFS('Test-keyslar'!$B$2:$B$197,"Ballar",'Test-keyslar'!$P$2:$P$197,"Skipped")</f>
        <v/>
      </c>
      <c r="O26" s="11">
        <f>COUNTIFS('Test-keyslar'!$B$2:$B$197,"Ballar",'Test-keyslar'!$P$2:$P$197,"Bajarilmagan")</f>
        <v/>
      </c>
    </row>
    <row r="27">
      <c r="A27" s="13" t="inlineStr">
        <is>
          <t>WLT — Mening hamyonim (qarz)</t>
        </is>
      </c>
      <c r="B27" s="14">
        <f>COUNTIF('Test-keyslar'!$B$2:$B$197,"Mening hamyonim (qarz)")</f>
        <v/>
      </c>
      <c r="C27" s="14">
        <f>COUNTIFS('Test-keyslar'!$B$2:$B$197,"Mening hamyonim (qarz)",'Test-keyslar'!$E$2:$E$197,"P1")</f>
        <v/>
      </c>
      <c r="D27" s="14">
        <f>COUNTIFS('Test-keyslar'!$B$2:$B$197,"Mening hamyonim (qarz)",'Test-keyslar'!$E$2:$E$197,"P2")</f>
        <v/>
      </c>
      <c r="E27" s="14">
        <f>COUNTIFS('Test-keyslar'!$B$2:$B$197,"Mening hamyonim (qarz)",'Test-keyslar'!$E$2:$E$197,"P3")</f>
        <v/>
      </c>
      <c r="F27" s="14">
        <f>COUNTIFS('Test-keyslar'!$B$2:$B$197,"Mening hamyonim (qarz)",'Test-keyslar'!$L$2:$L$197,"Ha")</f>
        <v/>
      </c>
      <c r="G27" s="14">
        <f>COUNTIFS('Test-keyslar'!$B$2:$B$197,"Mening hamyonim (qarz)",'Test-keyslar'!$L$2:$L$197,"Qisman")</f>
        <v/>
      </c>
      <c r="H27" s="14">
        <f>COUNTIFS('Test-keyslar'!$B$2:$B$197,"Mening hamyonim (qarz)",'Test-keyslar'!$L$2:$L$197,"Yo'q")</f>
        <v/>
      </c>
      <c r="I27" s="14">
        <f>COUNTIFS('Test-keyslar'!$B$2:$B$197,"Mening hamyonim (qarz)",'Test-keyslar'!$N$2:$N$197,"Avtomatlashtirilgan")</f>
        <v/>
      </c>
      <c r="J27" s="15">
        <f>IF(B27=0,0,I27/B27)</f>
        <v/>
      </c>
      <c r="K27" s="14">
        <f>COUNTIFS('Test-keyslar'!$B$2:$B$197,"Mening hamyonim (qarz)",'Test-keyslar'!$P$2:$P$197,"Passed")</f>
        <v/>
      </c>
      <c r="L27" s="14">
        <f>COUNTIFS('Test-keyslar'!$B$2:$B$197,"Mening hamyonim (qarz)",'Test-keyslar'!$P$2:$P$197,"Failed")</f>
        <v/>
      </c>
      <c r="M27" s="14">
        <f>COUNTIFS('Test-keyslar'!$B$2:$B$197,"Mening hamyonim (qarz)",'Test-keyslar'!$P$2:$P$197,"Blocked")</f>
        <v/>
      </c>
      <c r="N27" s="14">
        <f>COUNTIFS('Test-keyslar'!$B$2:$B$197,"Mening hamyonim (qarz)",'Test-keyslar'!$P$2:$P$197,"Skipped")</f>
        <v/>
      </c>
      <c r="O27" s="14">
        <f>COUNTIFS('Test-keyslar'!$B$2:$B$197,"Mening hamyonim (qarz)",'Test-keyslar'!$P$2:$P$197,"Bajarilmagan")</f>
        <v/>
      </c>
    </row>
    <row r="28">
      <c r="A28" s="10" t="inlineStr">
        <is>
          <t>NTF — Bildirishnomalar</t>
        </is>
      </c>
      <c r="B28" s="11">
        <f>COUNTIF('Test-keyslar'!$B$2:$B$197,"Bildirishnomalar")</f>
        <v/>
      </c>
      <c r="C28" s="11">
        <f>COUNTIFS('Test-keyslar'!$B$2:$B$197,"Bildirishnomalar",'Test-keyslar'!$E$2:$E$197,"P1")</f>
        <v/>
      </c>
      <c r="D28" s="11">
        <f>COUNTIFS('Test-keyslar'!$B$2:$B$197,"Bildirishnomalar",'Test-keyslar'!$E$2:$E$197,"P2")</f>
        <v/>
      </c>
      <c r="E28" s="11">
        <f>COUNTIFS('Test-keyslar'!$B$2:$B$197,"Bildirishnomalar",'Test-keyslar'!$E$2:$E$197,"P3")</f>
        <v/>
      </c>
      <c r="F28" s="11">
        <f>COUNTIFS('Test-keyslar'!$B$2:$B$197,"Bildirishnomalar",'Test-keyslar'!$L$2:$L$197,"Ha")</f>
        <v/>
      </c>
      <c r="G28" s="11">
        <f>COUNTIFS('Test-keyslar'!$B$2:$B$197,"Bildirishnomalar",'Test-keyslar'!$L$2:$L$197,"Qisman")</f>
        <v/>
      </c>
      <c r="H28" s="11">
        <f>COUNTIFS('Test-keyslar'!$B$2:$B$197,"Bildirishnomalar",'Test-keyslar'!$L$2:$L$197,"Yo'q")</f>
        <v/>
      </c>
      <c r="I28" s="11">
        <f>COUNTIFS('Test-keyslar'!$B$2:$B$197,"Bildirishnomalar",'Test-keyslar'!$N$2:$N$197,"Avtomatlashtirilgan")</f>
        <v/>
      </c>
      <c r="J28" s="12">
        <f>IF(B28=0,0,I28/B28)</f>
        <v/>
      </c>
      <c r="K28" s="11">
        <f>COUNTIFS('Test-keyslar'!$B$2:$B$197,"Bildirishnomalar",'Test-keyslar'!$P$2:$P$197,"Passed")</f>
        <v/>
      </c>
      <c r="L28" s="11">
        <f>COUNTIFS('Test-keyslar'!$B$2:$B$197,"Bildirishnomalar",'Test-keyslar'!$P$2:$P$197,"Failed")</f>
        <v/>
      </c>
      <c r="M28" s="11">
        <f>COUNTIFS('Test-keyslar'!$B$2:$B$197,"Bildirishnomalar",'Test-keyslar'!$P$2:$P$197,"Blocked")</f>
        <v/>
      </c>
      <c r="N28" s="11">
        <f>COUNTIFS('Test-keyslar'!$B$2:$B$197,"Bildirishnomalar",'Test-keyslar'!$P$2:$P$197,"Skipped")</f>
        <v/>
      </c>
      <c r="O28" s="11">
        <f>COUNTIFS('Test-keyslar'!$B$2:$B$197,"Bildirishnomalar",'Test-keyslar'!$P$2:$P$197,"Bajarilmagan")</f>
        <v/>
      </c>
    </row>
    <row r="29">
      <c r="A29" s="13" t="inlineStr">
        <is>
          <t>REQ — Mening so'rovlarim</t>
        </is>
      </c>
      <c r="B29" s="14">
        <f>COUNTIF('Test-keyslar'!$B$2:$B$197,"Mening so'rovlarim")</f>
        <v/>
      </c>
      <c r="C29" s="14">
        <f>COUNTIFS('Test-keyslar'!$B$2:$B$197,"Mening so'rovlarim",'Test-keyslar'!$E$2:$E$197,"P1")</f>
        <v/>
      </c>
      <c r="D29" s="14">
        <f>COUNTIFS('Test-keyslar'!$B$2:$B$197,"Mening so'rovlarim",'Test-keyslar'!$E$2:$E$197,"P2")</f>
        <v/>
      </c>
      <c r="E29" s="14">
        <f>COUNTIFS('Test-keyslar'!$B$2:$B$197,"Mening so'rovlarim",'Test-keyslar'!$E$2:$E$197,"P3")</f>
        <v/>
      </c>
      <c r="F29" s="14">
        <f>COUNTIFS('Test-keyslar'!$B$2:$B$197,"Mening so'rovlarim",'Test-keyslar'!$L$2:$L$197,"Ha")</f>
        <v/>
      </c>
      <c r="G29" s="14">
        <f>COUNTIFS('Test-keyslar'!$B$2:$B$197,"Mening so'rovlarim",'Test-keyslar'!$L$2:$L$197,"Qisman")</f>
        <v/>
      </c>
      <c r="H29" s="14">
        <f>COUNTIFS('Test-keyslar'!$B$2:$B$197,"Mening so'rovlarim",'Test-keyslar'!$L$2:$L$197,"Yo'q")</f>
        <v/>
      </c>
      <c r="I29" s="14">
        <f>COUNTIFS('Test-keyslar'!$B$2:$B$197,"Mening so'rovlarim",'Test-keyslar'!$N$2:$N$197,"Avtomatlashtirilgan")</f>
        <v/>
      </c>
      <c r="J29" s="15">
        <f>IF(B29=0,0,I29/B29)</f>
        <v/>
      </c>
      <c r="K29" s="14">
        <f>COUNTIFS('Test-keyslar'!$B$2:$B$197,"Mening so'rovlarim",'Test-keyslar'!$P$2:$P$197,"Passed")</f>
        <v/>
      </c>
      <c r="L29" s="14">
        <f>COUNTIFS('Test-keyslar'!$B$2:$B$197,"Mening so'rovlarim",'Test-keyslar'!$P$2:$P$197,"Failed")</f>
        <v/>
      </c>
      <c r="M29" s="14">
        <f>COUNTIFS('Test-keyslar'!$B$2:$B$197,"Mening so'rovlarim",'Test-keyslar'!$P$2:$P$197,"Blocked")</f>
        <v/>
      </c>
      <c r="N29" s="14">
        <f>COUNTIFS('Test-keyslar'!$B$2:$B$197,"Mening so'rovlarim",'Test-keyslar'!$P$2:$P$197,"Skipped")</f>
        <v/>
      </c>
      <c r="O29" s="14">
        <f>COUNTIFS('Test-keyslar'!$B$2:$B$197,"Mening so'rovlarim",'Test-keyslar'!$P$2:$P$197,"Bajarilmagan")</f>
        <v/>
      </c>
    </row>
    <row r="30">
      <c r="A30" s="10" t="inlineStr">
        <is>
          <t>SPC — Maxsus buyurtma</t>
        </is>
      </c>
      <c r="B30" s="11">
        <f>COUNTIF('Test-keyslar'!$B$2:$B$197,"Maxsus buyurtma")</f>
        <v/>
      </c>
      <c r="C30" s="11">
        <f>COUNTIFS('Test-keyslar'!$B$2:$B$197,"Maxsus buyurtma",'Test-keyslar'!$E$2:$E$197,"P1")</f>
        <v/>
      </c>
      <c r="D30" s="11">
        <f>COUNTIFS('Test-keyslar'!$B$2:$B$197,"Maxsus buyurtma",'Test-keyslar'!$E$2:$E$197,"P2")</f>
        <v/>
      </c>
      <c r="E30" s="11">
        <f>COUNTIFS('Test-keyslar'!$B$2:$B$197,"Maxsus buyurtma",'Test-keyslar'!$E$2:$E$197,"P3")</f>
        <v/>
      </c>
      <c r="F30" s="11">
        <f>COUNTIFS('Test-keyslar'!$B$2:$B$197,"Maxsus buyurtma",'Test-keyslar'!$L$2:$L$197,"Ha")</f>
        <v/>
      </c>
      <c r="G30" s="11">
        <f>COUNTIFS('Test-keyslar'!$B$2:$B$197,"Maxsus buyurtma",'Test-keyslar'!$L$2:$L$197,"Qisman")</f>
        <v/>
      </c>
      <c r="H30" s="11">
        <f>COUNTIFS('Test-keyslar'!$B$2:$B$197,"Maxsus buyurtma",'Test-keyslar'!$L$2:$L$197,"Yo'q")</f>
        <v/>
      </c>
      <c r="I30" s="11">
        <f>COUNTIFS('Test-keyslar'!$B$2:$B$197,"Maxsus buyurtma",'Test-keyslar'!$N$2:$N$197,"Avtomatlashtirilgan")</f>
        <v/>
      </c>
      <c r="J30" s="12">
        <f>IF(B30=0,0,I30/B30)</f>
        <v/>
      </c>
      <c r="K30" s="11">
        <f>COUNTIFS('Test-keyslar'!$B$2:$B$197,"Maxsus buyurtma",'Test-keyslar'!$P$2:$P$197,"Passed")</f>
        <v/>
      </c>
      <c r="L30" s="11">
        <f>COUNTIFS('Test-keyslar'!$B$2:$B$197,"Maxsus buyurtma",'Test-keyslar'!$P$2:$P$197,"Failed")</f>
        <v/>
      </c>
      <c r="M30" s="11">
        <f>COUNTIFS('Test-keyslar'!$B$2:$B$197,"Maxsus buyurtma",'Test-keyslar'!$P$2:$P$197,"Blocked")</f>
        <v/>
      </c>
      <c r="N30" s="11">
        <f>COUNTIFS('Test-keyslar'!$B$2:$B$197,"Maxsus buyurtma",'Test-keyslar'!$P$2:$P$197,"Skipped")</f>
        <v/>
      </c>
      <c r="O30" s="11">
        <f>COUNTIFS('Test-keyslar'!$B$2:$B$197,"Maxsus buyurtma",'Test-keyslar'!$P$2:$P$197,"Bajarilmagan")</f>
        <v/>
      </c>
    </row>
    <row r="31">
      <c r="A31" s="13" t="inlineStr">
        <is>
          <t>MST — «Usta» roli xususiyatlari</t>
        </is>
      </c>
      <c r="B31" s="14">
        <f>COUNTIF('Test-keyslar'!$B$2:$B$197,"«Usta» roli xususiyatlari")</f>
        <v/>
      </c>
      <c r="C31" s="14">
        <f>COUNTIFS('Test-keyslar'!$B$2:$B$197,"«Usta» roli xususiyatlari",'Test-keyslar'!$E$2:$E$197,"P1")</f>
        <v/>
      </c>
      <c r="D31" s="14">
        <f>COUNTIFS('Test-keyslar'!$B$2:$B$197,"«Usta» roli xususiyatlari",'Test-keyslar'!$E$2:$E$197,"P2")</f>
        <v/>
      </c>
      <c r="E31" s="14">
        <f>COUNTIFS('Test-keyslar'!$B$2:$B$197,"«Usta» roli xususiyatlari",'Test-keyslar'!$E$2:$E$197,"P3")</f>
        <v/>
      </c>
      <c r="F31" s="14">
        <f>COUNTIFS('Test-keyslar'!$B$2:$B$197,"«Usta» roli xususiyatlari",'Test-keyslar'!$L$2:$L$197,"Ha")</f>
        <v/>
      </c>
      <c r="G31" s="14">
        <f>COUNTIFS('Test-keyslar'!$B$2:$B$197,"«Usta» roli xususiyatlari",'Test-keyslar'!$L$2:$L$197,"Qisman")</f>
        <v/>
      </c>
      <c r="H31" s="14">
        <f>COUNTIFS('Test-keyslar'!$B$2:$B$197,"«Usta» roli xususiyatlari",'Test-keyslar'!$L$2:$L$197,"Yo'q")</f>
        <v/>
      </c>
      <c r="I31" s="14">
        <f>COUNTIFS('Test-keyslar'!$B$2:$B$197,"«Usta» roli xususiyatlari",'Test-keyslar'!$N$2:$N$197,"Avtomatlashtirilgan")</f>
        <v/>
      </c>
      <c r="J31" s="15">
        <f>IF(B31=0,0,I31/B31)</f>
        <v/>
      </c>
      <c r="K31" s="14">
        <f>COUNTIFS('Test-keyslar'!$B$2:$B$197,"«Usta» roli xususiyatlari",'Test-keyslar'!$P$2:$P$197,"Passed")</f>
        <v/>
      </c>
      <c r="L31" s="14">
        <f>COUNTIFS('Test-keyslar'!$B$2:$B$197,"«Usta» roli xususiyatlari",'Test-keyslar'!$P$2:$P$197,"Failed")</f>
        <v/>
      </c>
      <c r="M31" s="14">
        <f>COUNTIFS('Test-keyslar'!$B$2:$B$197,"«Usta» roli xususiyatlari",'Test-keyslar'!$P$2:$P$197,"Blocked")</f>
        <v/>
      </c>
      <c r="N31" s="14">
        <f>COUNTIFS('Test-keyslar'!$B$2:$B$197,"«Usta» roli xususiyatlari",'Test-keyslar'!$P$2:$P$197,"Skipped")</f>
        <v/>
      </c>
      <c r="O31" s="14">
        <f>COUNTIFS('Test-keyslar'!$B$2:$B$197,"«Usta» roli xususiyatlari",'Test-keyslar'!$P$2:$P$197,"Bajarilmagan")</f>
        <v/>
      </c>
    </row>
    <row r="32">
      <c r="A32" s="10" t="inlineStr">
        <is>
          <t>L10N — Lokalizatsiya</t>
        </is>
      </c>
      <c r="B32" s="11">
        <f>COUNTIF('Test-keyslar'!$B$2:$B$197,"Lokalizatsiya")</f>
        <v/>
      </c>
      <c r="C32" s="11">
        <f>COUNTIFS('Test-keyslar'!$B$2:$B$197,"Lokalizatsiya",'Test-keyslar'!$E$2:$E$197,"P1")</f>
        <v/>
      </c>
      <c r="D32" s="11">
        <f>COUNTIFS('Test-keyslar'!$B$2:$B$197,"Lokalizatsiya",'Test-keyslar'!$E$2:$E$197,"P2")</f>
        <v/>
      </c>
      <c r="E32" s="11">
        <f>COUNTIFS('Test-keyslar'!$B$2:$B$197,"Lokalizatsiya",'Test-keyslar'!$E$2:$E$197,"P3")</f>
        <v/>
      </c>
      <c r="F32" s="11">
        <f>COUNTIFS('Test-keyslar'!$B$2:$B$197,"Lokalizatsiya",'Test-keyslar'!$L$2:$L$197,"Ha")</f>
        <v/>
      </c>
      <c r="G32" s="11">
        <f>COUNTIFS('Test-keyslar'!$B$2:$B$197,"Lokalizatsiya",'Test-keyslar'!$L$2:$L$197,"Qisman")</f>
        <v/>
      </c>
      <c r="H32" s="11">
        <f>COUNTIFS('Test-keyslar'!$B$2:$B$197,"Lokalizatsiya",'Test-keyslar'!$L$2:$L$197,"Yo'q")</f>
        <v/>
      </c>
      <c r="I32" s="11">
        <f>COUNTIFS('Test-keyslar'!$B$2:$B$197,"Lokalizatsiya",'Test-keyslar'!$N$2:$N$197,"Avtomatlashtirilgan")</f>
        <v/>
      </c>
      <c r="J32" s="12">
        <f>IF(B32=0,0,I32/B32)</f>
        <v/>
      </c>
      <c r="K32" s="11">
        <f>COUNTIFS('Test-keyslar'!$B$2:$B$197,"Lokalizatsiya",'Test-keyslar'!$P$2:$P$197,"Passed")</f>
        <v/>
      </c>
      <c r="L32" s="11">
        <f>COUNTIFS('Test-keyslar'!$B$2:$B$197,"Lokalizatsiya",'Test-keyslar'!$P$2:$P$197,"Failed")</f>
        <v/>
      </c>
      <c r="M32" s="11">
        <f>COUNTIFS('Test-keyslar'!$B$2:$B$197,"Lokalizatsiya",'Test-keyslar'!$P$2:$P$197,"Blocked")</f>
        <v/>
      </c>
      <c r="N32" s="11">
        <f>COUNTIFS('Test-keyslar'!$B$2:$B$197,"Lokalizatsiya",'Test-keyslar'!$P$2:$P$197,"Skipped")</f>
        <v/>
      </c>
      <c r="O32" s="11">
        <f>COUNTIFS('Test-keyslar'!$B$2:$B$197,"Lokalizatsiya",'Test-keyslar'!$P$2:$P$197,"Bajarilmagan")</f>
        <v/>
      </c>
    </row>
    <row r="33">
      <c r="A33" s="13" t="inlineStr">
        <is>
          <t>MOB — Mobil versiya</t>
        </is>
      </c>
      <c r="B33" s="14">
        <f>COUNTIF('Test-keyslar'!$B$2:$B$197,"Mobil versiya")</f>
        <v/>
      </c>
      <c r="C33" s="14">
        <f>COUNTIFS('Test-keyslar'!$B$2:$B$197,"Mobil versiya",'Test-keyslar'!$E$2:$E$197,"P1")</f>
        <v/>
      </c>
      <c r="D33" s="14">
        <f>COUNTIFS('Test-keyslar'!$B$2:$B$197,"Mobil versiya",'Test-keyslar'!$E$2:$E$197,"P2")</f>
        <v/>
      </c>
      <c r="E33" s="14">
        <f>COUNTIFS('Test-keyslar'!$B$2:$B$197,"Mobil versiya",'Test-keyslar'!$E$2:$E$197,"P3")</f>
        <v/>
      </c>
      <c r="F33" s="14">
        <f>COUNTIFS('Test-keyslar'!$B$2:$B$197,"Mobil versiya",'Test-keyslar'!$L$2:$L$197,"Ha")</f>
        <v/>
      </c>
      <c r="G33" s="14">
        <f>COUNTIFS('Test-keyslar'!$B$2:$B$197,"Mobil versiya",'Test-keyslar'!$L$2:$L$197,"Qisman")</f>
        <v/>
      </c>
      <c r="H33" s="14">
        <f>COUNTIFS('Test-keyslar'!$B$2:$B$197,"Mobil versiya",'Test-keyslar'!$L$2:$L$197,"Yo'q")</f>
        <v/>
      </c>
      <c r="I33" s="14">
        <f>COUNTIFS('Test-keyslar'!$B$2:$B$197,"Mobil versiya",'Test-keyslar'!$N$2:$N$197,"Avtomatlashtirilgan")</f>
        <v/>
      </c>
      <c r="J33" s="15">
        <f>IF(B33=0,0,I33/B33)</f>
        <v/>
      </c>
      <c r="K33" s="14">
        <f>COUNTIFS('Test-keyslar'!$B$2:$B$197,"Mobil versiya",'Test-keyslar'!$P$2:$P$197,"Passed")</f>
        <v/>
      </c>
      <c r="L33" s="14">
        <f>COUNTIFS('Test-keyslar'!$B$2:$B$197,"Mobil versiya",'Test-keyslar'!$P$2:$P$197,"Failed")</f>
        <v/>
      </c>
      <c r="M33" s="14">
        <f>COUNTIFS('Test-keyslar'!$B$2:$B$197,"Mobil versiya",'Test-keyslar'!$P$2:$P$197,"Blocked")</f>
        <v/>
      </c>
      <c r="N33" s="14">
        <f>COUNTIFS('Test-keyslar'!$B$2:$B$197,"Mobil versiya",'Test-keyslar'!$P$2:$P$197,"Skipped")</f>
        <v/>
      </c>
      <c r="O33" s="14">
        <f>COUNTIFS('Test-keyslar'!$B$2:$B$197,"Mobil versiya",'Test-keyslar'!$P$2:$P$197,"Bajarilmagan")</f>
        <v/>
      </c>
    </row>
    <row r="34">
      <c r="A34" s="10" t="inlineStr">
        <is>
          <t>GEN — Umumiy tekshiruvlar</t>
        </is>
      </c>
      <c r="B34" s="11">
        <f>COUNTIF('Test-keyslar'!$B$2:$B$197,"Umumiy tekshiruvlar")</f>
        <v/>
      </c>
      <c r="C34" s="11">
        <f>COUNTIFS('Test-keyslar'!$B$2:$B$197,"Umumiy tekshiruvlar",'Test-keyslar'!$E$2:$E$197,"P1")</f>
        <v/>
      </c>
      <c r="D34" s="11">
        <f>COUNTIFS('Test-keyslar'!$B$2:$B$197,"Umumiy tekshiruvlar",'Test-keyslar'!$E$2:$E$197,"P2")</f>
        <v/>
      </c>
      <c r="E34" s="11">
        <f>COUNTIFS('Test-keyslar'!$B$2:$B$197,"Umumiy tekshiruvlar",'Test-keyslar'!$E$2:$E$197,"P3")</f>
        <v/>
      </c>
      <c r="F34" s="11">
        <f>COUNTIFS('Test-keyslar'!$B$2:$B$197,"Umumiy tekshiruvlar",'Test-keyslar'!$L$2:$L$197,"Ha")</f>
        <v/>
      </c>
      <c r="G34" s="11">
        <f>COUNTIFS('Test-keyslar'!$B$2:$B$197,"Umumiy tekshiruvlar",'Test-keyslar'!$L$2:$L$197,"Qisman")</f>
        <v/>
      </c>
      <c r="H34" s="11">
        <f>COUNTIFS('Test-keyslar'!$B$2:$B$197,"Umumiy tekshiruvlar",'Test-keyslar'!$L$2:$L$197,"Yo'q")</f>
        <v/>
      </c>
      <c r="I34" s="11">
        <f>COUNTIFS('Test-keyslar'!$B$2:$B$197,"Umumiy tekshiruvlar",'Test-keyslar'!$N$2:$N$197,"Avtomatlashtirilgan")</f>
        <v/>
      </c>
      <c r="J34" s="12">
        <f>IF(B34=0,0,I34/B34)</f>
        <v/>
      </c>
      <c r="K34" s="11">
        <f>COUNTIFS('Test-keyslar'!$B$2:$B$197,"Umumiy tekshiruvlar",'Test-keyslar'!$P$2:$P$197,"Passed")</f>
        <v/>
      </c>
      <c r="L34" s="11">
        <f>COUNTIFS('Test-keyslar'!$B$2:$B$197,"Umumiy tekshiruvlar",'Test-keyslar'!$P$2:$P$197,"Failed")</f>
        <v/>
      </c>
      <c r="M34" s="11">
        <f>COUNTIFS('Test-keyslar'!$B$2:$B$197,"Umumiy tekshiruvlar",'Test-keyslar'!$P$2:$P$197,"Blocked")</f>
        <v/>
      </c>
      <c r="N34" s="11">
        <f>COUNTIFS('Test-keyslar'!$B$2:$B$197,"Umumiy tekshiruvlar",'Test-keyslar'!$P$2:$P$197,"Skipped")</f>
        <v/>
      </c>
      <c r="O34" s="11">
        <f>COUNTIFS('Test-keyslar'!$B$2:$B$197,"Umumiy tekshiruvlar",'Test-keyslar'!$P$2:$P$197,"Bajarilmagan")</f>
        <v/>
      </c>
    </row>
    <row r="35">
      <c r="A35" s="16" t="inlineStr">
        <is>
          <t>JAMI</t>
        </is>
      </c>
      <c r="B35" s="17">
        <f>SUM(B14:B34)</f>
        <v/>
      </c>
      <c r="C35" s="17">
        <f>SUM(C14:C34)</f>
        <v/>
      </c>
      <c r="D35" s="17">
        <f>SUM(D14:D34)</f>
        <v/>
      </c>
      <c r="E35" s="17">
        <f>SUM(E14:E34)</f>
        <v/>
      </c>
      <c r="F35" s="17">
        <f>SUM(F14:F34)</f>
        <v/>
      </c>
      <c r="G35" s="17">
        <f>SUM(G14:G34)</f>
        <v/>
      </c>
      <c r="H35" s="17">
        <f>SUM(H14:H34)</f>
        <v/>
      </c>
      <c r="I35" s="17">
        <f>SUM(I14:I34)</f>
        <v/>
      </c>
      <c r="J35" s="18">
        <f>IF(B35=0,0,I35/B35)</f>
        <v/>
      </c>
      <c r="K35" s="17">
        <f>SUM(K14:K34)</f>
        <v/>
      </c>
      <c r="L35" s="17">
        <f>SUM(L14:L34)</f>
        <v/>
      </c>
      <c r="M35" s="17">
        <f>SUM(M14:M34)</f>
        <v/>
      </c>
      <c r="N35" s="17">
        <f>SUM(N14:N34)</f>
        <v/>
      </c>
      <c r="O35" s="17">
        <f>SUM(O14:O34)</f>
        <v/>
      </c>
    </row>
    <row r="37">
      <c r="A37" s="8" t="inlineStr">
        <is>
          <t>Izohlar</t>
        </is>
      </c>
    </row>
    <row r="38">
      <c r="A38" s="19" t="inlineStr">
        <is>
          <t>P1 — kritik</t>
        </is>
      </c>
      <c r="B38" s="4" t="inlineStr">
        <is>
          <t>Relizni bloklaydi. Smoke-to'plam: har doim bajariladi.</t>
        </is>
      </c>
    </row>
    <row r="39">
      <c r="A39" s="20" t="inlineStr">
        <is>
          <t>P2 — yuqori</t>
        </is>
      </c>
      <c r="B39" s="4" t="inlineStr">
        <is>
          <t>Muhim funksional, to'liq regressda bajariladi.</t>
        </is>
      </c>
    </row>
    <row r="40">
      <c r="A40" s="21" t="inlineStr">
        <is>
          <t>P3 — o'rta</t>
        </is>
      </c>
      <c r="B40" s="4" t="inlineStr">
        <is>
          <t>UI/ikkinchi darajali, vaqt yetmasa keyinga qoldirish mumkin.</t>
        </is>
      </c>
    </row>
    <row r="41">
      <c r="A41" s="22" t="inlineStr">
        <is>
          <t>Avtomatlashtirish: Ha</t>
        </is>
      </c>
      <c r="B41" s="4" t="inlineStr">
        <is>
          <t>Stsenariy barqaror va UI orqali to'liq tekshiriladi (Playwright).</t>
        </is>
      </c>
    </row>
    <row r="42">
      <c r="A42" s="23" t="inlineStr">
        <is>
          <t>Avtomatlashtirish: Qisman</t>
        </is>
      </c>
      <c r="B42" s="4" t="inlineStr">
        <is>
          <t>SMS/OTP, ma'lumot tayyorlash uchun admin panel/API yoki vizual baho kerak.</t>
        </is>
      </c>
    </row>
    <row r="43">
      <c r="A43" s="19" t="inlineStr">
        <is>
          <t>Avtomatlashtirish: Yo'q</t>
        </is>
      </c>
      <c r="B43" s="4" t="inlineStr">
        <is>
          <t>Haqiqiy qurilma kerak yoki destruktiv — faqat qo'lda.</t>
        </is>
      </c>
    </row>
    <row r="44">
      <c r="A44" s="24" t="inlineStr">
        <is>
          <t>Holat: Avtomatlashtirilgan</t>
        </is>
      </c>
      <c r="B44" s="4" t="inlineStr">
        <is>
          <t>aros-ui repozitoriyasida avtotest bor («Avtotest» ustuni).</t>
        </is>
      </c>
    </row>
    <row r="45">
      <c r="A45" s="25" t="inlineStr">
        <is>
          <t>Progon natijasi</t>
        </is>
      </c>
      <c r="B45" s="4" t="inlineStr">
        <is>
          <t>Ro'yxatdan tanlanadi: Passed / Failed / Blocked / Skipped / Bajarilmagan.</t>
        </is>
      </c>
    </row>
    <row r="46">
      <c r="A46" s="25" t="inlineStr">
        <is>
          <t>Turi</t>
        </is>
      </c>
      <c r="B46" s="4" t="inlineStr">
        <is>
          <t>Smoke, Functional, Negative, UI, Security, Integration, Technical, Non-functional.</t>
        </is>
      </c>
    </row>
    <row r="47">
      <c r="A47" s="25" t="inlineStr">
        <is>
          <t>Talab / manba</t>
        </is>
      </c>
      <c r="B47" s="4" t="inlineStr">
        <is>
          <t>Confluence dagi PRD («Manbalar» varag'i) yoki «staging'da tekshirilgan». Integration — admin panelda qadam kerak.</t>
        </is>
      </c>
    </row>
  </sheetData>
  <mergeCells count="19">
    <mergeCell ref="B41:O41"/>
    <mergeCell ref="B9:H9"/>
    <mergeCell ref="B47:O47"/>
    <mergeCell ref="B6:H6"/>
    <mergeCell ref="B46:O46"/>
    <mergeCell ref="B5:H5"/>
    <mergeCell ref="B43:O43"/>
    <mergeCell ref="B39:O39"/>
    <mergeCell ref="B4:H4"/>
    <mergeCell ref="B7:H7"/>
    <mergeCell ref="B42:O42"/>
    <mergeCell ref="B44:O44"/>
    <mergeCell ref="B38:O38"/>
    <mergeCell ref="B11:H11"/>
    <mergeCell ref="B40:O40"/>
    <mergeCell ref="B8:H8"/>
    <mergeCell ref="A1:O1"/>
    <mergeCell ref="B10:H10"/>
    <mergeCell ref="B45:O45"/>
  </mergeCells>
  <conditionalFormatting sqref="J14:J34">
    <cfRule type="expression" priority="1" dxfId="0">
      <formula>J14&gt;=0.5</formula>
    </cfRule>
  </conditionalFormatting>
  <conditionalFormatting sqref="L14:L35">
    <cfRule type="expression" priority="2" dxfId="1">
      <formula>L14&gt;0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38" customWidth="1" min="4" max="4"/>
    <col width="11" customWidth="1" min="5" max="5"/>
    <col width="13" customWidth="1" min="6" max="6"/>
    <col width="28" customWidth="1" min="7" max="7"/>
    <col width="50" customWidth="1" min="8" max="8"/>
    <col width="22" customWidth="1" min="9" max="9"/>
    <col width="48" customWidth="1" min="10" max="10"/>
    <col width="26" customWidth="1" min="11" max="11"/>
    <col width="16" customWidth="1" min="12" max="12"/>
    <col width="30" customWidth="1" min="13" max="13"/>
    <col width="19" customWidth="1" min="14" max="14"/>
    <col width="34" customWidth="1" min="15" max="15"/>
    <col width="14" customWidth="1" min="16" max="16"/>
    <col width="30" customWidth="1" min="17" max="17"/>
  </cols>
  <sheetData>
    <row r="1" ht="42" customHeight="1">
      <c r="A1" s="9" t="inlineStr">
        <is>
          <t>ID</t>
        </is>
      </c>
      <c r="B1" s="9" t="inlineStr">
        <is>
          <t>Modul</t>
        </is>
      </c>
      <c r="C1" s="9" t="inlineStr">
        <is>
          <t>Submodul</t>
        </is>
      </c>
      <c r="D1" s="9" t="inlineStr">
        <is>
          <t>Test-keys nomi</t>
        </is>
      </c>
      <c r="E1" s="9" t="inlineStr">
        <is>
          <t>Ustuvorlik</t>
        </is>
      </c>
      <c r="F1" s="9" t="inlineStr">
        <is>
          <t>Turi</t>
        </is>
      </c>
      <c r="G1" s="9" t="inlineStr">
        <is>
          <t>Dastlabki shartlar</t>
        </is>
      </c>
      <c r="H1" s="9" t="inlineStr">
        <is>
          <t>Qadamlar</t>
        </is>
      </c>
      <c r="I1" s="9" t="inlineStr">
        <is>
          <t>Test ma'lumotlari</t>
        </is>
      </c>
      <c r="J1" s="9" t="inlineStr">
        <is>
          <t>Kutilgan natija</t>
        </is>
      </c>
      <c r="K1" s="9" t="inlineStr">
        <is>
          <t>Talab / manba</t>
        </is>
      </c>
      <c r="L1" s="9" t="inlineStr">
        <is>
          <t>Avtomatlashtirish mumkinmi (UI)</t>
        </is>
      </c>
      <c r="M1" s="9" t="inlineStr">
        <is>
          <t>Avtomatlashtirish bo'yicha izoh</t>
        </is>
      </c>
      <c r="N1" s="9" t="inlineStr">
        <is>
          <t>UI-avtomatlashtirish holati</t>
        </is>
      </c>
      <c r="O1" s="9" t="inlineStr">
        <is>
          <t>Avtotest (klass#metod)</t>
        </is>
      </c>
      <c r="P1" s="9" t="inlineStr">
        <is>
          <t>Progon natijasi</t>
        </is>
      </c>
      <c r="Q1" s="9" t="inlineStr">
        <is>
          <t>Izoh / bagga havola</t>
        </is>
      </c>
    </row>
    <row r="2" ht="76" customHeight="1">
      <c r="A2" s="26" t="inlineStr">
        <is>
          <t>AUTH-001</t>
        </is>
      </c>
      <c r="B2" s="27" t="inlineStr">
        <is>
          <t>Avtorizatsiya va sessiya</t>
        </is>
      </c>
      <c r="C2" s="27" t="inlineStr">
        <is>
          <t>Parol bilan kirish</t>
        </is>
      </c>
      <c r="D2" s="28" t="inlineStr">
        <is>
          <t>Telefon raqam va parol bilan muvaffaqiyatli kirish</t>
        </is>
      </c>
      <c r="E2" s="29" t="inlineStr">
        <is>
          <t>P1</t>
        </is>
      </c>
      <c r="F2" s="29" t="inlineStr">
        <is>
          <t>Smoke</t>
        </is>
      </c>
      <c r="G2" s="27" t="inlineStr">
        <is>
          <t>Foydalanuvchi tizimga KIRMAGAN</t>
        </is>
      </c>
      <c r="H2" s="27" t="inlineStr">
        <is>
          <t>1. Bosh sahifani ochish
2. Sarlavhadagi «Kirish» tugmasini bosish
3. Parol bilan kirish rejimiga o'tish
4. Usta telefoni va parolini kiritish
5. «Kirish»ni bosish</t>
        </is>
      </c>
      <c r="I2" s="27" t="inlineStr">
        <is>
          <t>Telefon: +998998987882
Parol: Sh2004Sh</t>
        </is>
      </c>
      <c r="J2" s="27" t="inlineStr">
        <is>
          <t>Modal oyna yopildi, sarlavhada foydalanuvchi ismi «Шохрух» ko'rinadi, profilda «Status: Master»</t>
        </is>
      </c>
      <c r="K2" s="27" t="inlineStr"/>
      <c r="L2" s="29" t="inlineStr">
        <is>
          <t>Ha</t>
        </is>
      </c>
      <c r="M2" s="27" t="inlineStr">
        <is>
          <t>Barqaror stsenariy, test ma'lumotlari .env da</t>
        </is>
      </c>
      <c r="N2" s="29" t="inlineStr">
        <is>
          <t>Avtomatlashtirilgan</t>
        </is>
      </c>
      <c r="O2" s="27" t="inlineStr">
        <is>
          <t>storefront/auth/LoginTest#successfulLoginWithValidCredentials</t>
        </is>
      </c>
      <c r="P2" s="29" t="inlineStr">
        <is>
          <t>Bajarilmagan</t>
        </is>
      </c>
      <c r="Q2" s="27" t="inlineStr"/>
    </row>
    <row r="3" ht="48" customHeight="1">
      <c r="A3" s="26" t="inlineStr">
        <is>
          <t>AUTH-002</t>
        </is>
      </c>
      <c r="B3" s="27" t="inlineStr">
        <is>
          <t>Avtorizatsiya va sessiya</t>
        </is>
      </c>
      <c r="C3" s="27" t="inlineStr">
        <is>
          <t>Parol bilan kirish</t>
        </is>
      </c>
      <c r="D3" s="28" t="inlineStr">
        <is>
          <t>Noto'g'ri parol bilan kirish</t>
        </is>
      </c>
      <c r="E3" s="29" t="inlineStr">
        <is>
          <t>P1</t>
        </is>
      </c>
      <c r="F3" s="29" t="inlineStr">
        <is>
          <t>Negative</t>
        </is>
      </c>
      <c r="G3" s="27" t="inlineStr">
        <is>
          <t>Foydalanuvchi tizimga KIRMAGAN</t>
        </is>
      </c>
      <c r="H3" s="27" t="inlineStr">
        <is>
          <t>1. Kirish formasini «parol bilan» rejimida ochish
2. To'g'ri telefon va noto'g'ri parol kiritish
3. «Kirish»ni bosish</t>
        </is>
      </c>
      <c r="I3" s="27" t="inlineStr">
        <is>
          <t>Parol: WrongPass123</t>
        </is>
      </c>
      <c r="J3" s="27" t="inlineStr">
        <is>
          <t>Xato xabari chiqadi, foydalanuvchi tizimga kirmaydi, forma ochiq qoladi</t>
        </is>
      </c>
      <c r="K3" s="27" t="inlineStr"/>
      <c r="L3" s="29" t="inlineStr">
        <is>
          <t>Ha</t>
        </is>
      </c>
      <c r="M3" s="27" t="inlineStr"/>
      <c r="N3" s="29" t="inlineStr">
        <is>
          <t>Avtomatlashtirilgan</t>
        </is>
      </c>
      <c r="O3" s="27" t="inlineStr">
        <is>
          <t>storefront/auth/LoginTest#loginFailsWithWrongPassword</t>
        </is>
      </c>
      <c r="P3" s="29" t="inlineStr">
        <is>
          <t>Bajarilmagan</t>
        </is>
      </c>
      <c r="Q3" s="27" t="inlineStr"/>
    </row>
    <row r="4" ht="62" customHeight="1">
      <c r="A4" s="26" t="inlineStr">
        <is>
          <t>AUTH-003</t>
        </is>
      </c>
      <c r="B4" s="27" t="inlineStr">
        <is>
          <t>Avtorizatsiya va sessiya</t>
        </is>
      </c>
      <c r="C4" s="27" t="inlineStr">
        <is>
          <t>Parol bilan kirish</t>
        </is>
      </c>
      <c r="D4" s="28" t="inlineStr">
        <is>
          <t>Noto'g'ri formatdagi telefon bilan kirish</t>
        </is>
      </c>
      <c r="E4" s="29" t="inlineStr">
        <is>
          <t>P2</t>
        </is>
      </c>
      <c r="F4" s="29" t="inlineStr">
        <is>
          <t>Negative</t>
        </is>
      </c>
      <c r="G4" s="27" t="inlineStr">
        <is>
          <t>Foydalanuvchi tizimga KIRMAGAN</t>
        </is>
      </c>
      <c r="H4" s="27" t="inlineStr">
        <is>
          <t>1. Kirish formasini ochish
2. Noto'g'ri formatdagi telefonni kiritish (qisqa, harflar)
3. Parolni kiritib «Kirish»ni bosish</t>
        </is>
      </c>
      <c r="I4" s="27" t="inlineStr">
        <is>
          <t>To'plam: 123, abc, +99899</t>
        </is>
      </c>
      <c r="J4" s="27" t="inlineStr">
        <is>
          <t>Telefon maydoni validatsiyasi ishlaydi, kirish so'rovi yuborilmaydi / xato, kirish amalga oshmaydi</t>
        </is>
      </c>
      <c r="K4" s="27" t="inlineStr"/>
      <c r="L4" s="29" t="inlineStr">
        <is>
          <t>Ha</t>
        </is>
      </c>
      <c r="M4" s="27" t="inlineStr">
        <is>
          <t>Parametrlashtirilgan test</t>
        </is>
      </c>
      <c r="N4" s="29" t="inlineStr">
        <is>
          <t>Avtomatlashtirilgan</t>
        </is>
      </c>
      <c r="O4" s="27" t="inlineStr">
        <is>
          <t>storefront/auth/LoginTest#loginFailsWithInvalidPhoneFormat</t>
        </is>
      </c>
      <c r="P4" s="29" t="inlineStr">
        <is>
          <t>Bajarilmagan</t>
        </is>
      </c>
      <c r="Q4" s="27" t="inlineStr"/>
    </row>
    <row r="5" ht="48" customHeight="1">
      <c r="A5" s="26" t="inlineStr">
        <is>
          <t>AUTH-004</t>
        </is>
      </c>
      <c r="B5" s="27" t="inlineStr">
        <is>
          <t>Avtorizatsiya va sessiya</t>
        </is>
      </c>
      <c r="C5" s="27" t="inlineStr">
        <is>
          <t>Parol bilan kirish</t>
        </is>
      </c>
      <c r="D5" s="28" t="inlineStr">
        <is>
          <t>Bo'sh parol bilan kirish</t>
        </is>
      </c>
      <c r="E5" s="29" t="inlineStr">
        <is>
          <t>P2</t>
        </is>
      </c>
      <c r="F5" s="29" t="inlineStr">
        <is>
          <t>Negative</t>
        </is>
      </c>
      <c r="G5" s="27" t="inlineStr">
        <is>
          <t>Foydalanuvchi tizimga KIRMAGAN</t>
        </is>
      </c>
      <c r="H5" s="27" t="inlineStr">
        <is>
          <t>1. Kirish formasini (parol bilan) ochish
2. Telefonni kiritish, parolni bo'sh qoldirish
3. «Kirish»ni bosish</t>
        </is>
      </c>
      <c r="I5" s="27" t="inlineStr"/>
      <c r="J5" s="27" t="inlineStr">
        <is>
          <t>Tugma faol emas yoki «majburiy maydon» xatosi chiqadi, kirish amalga oshmaydi</t>
        </is>
      </c>
      <c r="K5" s="27" t="inlineStr"/>
      <c r="L5" s="29" t="inlineStr">
        <is>
          <t>Ha</t>
        </is>
      </c>
      <c r="M5" s="27" t="inlineStr"/>
      <c r="N5" s="29" t="inlineStr">
        <is>
          <t>Avtomatlashtirilgan</t>
        </is>
      </c>
      <c r="O5" s="27" t="inlineStr">
        <is>
          <t>storefront/auth/LoginTest#loginFailsWithEmptyPassword</t>
        </is>
      </c>
      <c r="P5" s="29" t="inlineStr">
        <is>
          <t>Bajarilmagan</t>
        </is>
      </c>
      <c r="Q5" s="27" t="inlineStr"/>
    </row>
    <row r="6" ht="48" customHeight="1">
      <c r="A6" s="26" t="inlineStr">
        <is>
          <t>AUTH-005</t>
        </is>
      </c>
      <c r="B6" s="27" t="inlineStr">
        <is>
          <t>Avtorizatsiya va sessiya</t>
        </is>
      </c>
      <c r="C6" s="27" t="inlineStr">
        <is>
          <t>Parol bilan kirish</t>
        </is>
      </c>
      <c r="D6" s="28" t="inlineStr">
        <is>
          <t>Bo'sh telefon raqam bilan kirish</t>
        </is>
      </c>
      <c r="E6" s="29" t="inlineStr">
        <is>
          <t>P2</t>
        </is>
      </c>
      <c r="F6" s="29" t="inlineStr">
        <is>
          <t>Negative</t>
        </is>
      </c>
      <c r="G6" s="27" t="inlineStr">
        <is>
          <t>Foydalanuvchi tizimga KIRMAGAN</t>
        </is>
      </c>
      <c r="H6" s="27" t="inlineStr">
        <is>
          <t>1. Kirish formasini (parol bilan) ochish
2. Telefonni bo'sh qoldirib, parolni kiritish
3. «Kirish»ni bosish</t>
        </is>
      </c>
      <c r="I6" s="27" t="inlineStr"/>
      <c r="J6" s="27" t="inlineStr">
        <is>
          <t>Tugma faol emas yoki validatsiya xatosi chiqadi, kirish amalga oshmaydi</t>
        </is>
      </c>
      <c r="K6" s="27" t="inlineStr"/>
      <c r="L6" s="29" t="inlineStr">
        <is>
          <t>Ha</t>
        </is>
      </c>
      <c r="M6" s="27" t="inlineStr"/>
      <c r="N6" s="29" t="inlineStr">
        <is>
          <t>Avtomatlashtirilgan</t>
        </is>
      </c>
      <c r="O6" s="27" t="inlineStr">
        <is>
          <t>storefront/auth/LoginTest#loginFailsWithEmptyPhoneNumber</t>
        </is>
      </c>
      <c r="P6" s="29" t="inlineStr">
        <is>
          <t>Bajarilmagan</t>
        </is>
      </c>
      <c r="Q6" s="27" t="inlineStr"/>
    </row>
    <row r="7" ht="48" customHeight="1">
      <c r="A7" s="26" t="inlineStr">
        <is>
          <t>AUTH-006</t>
        </is>
      </c>
      <c r="B7" s="27" t="inlineStr">
        <is>
          <t>Avtorizatsiya va sessiya</t>
        </is>
      </c>
      <c r="C7" s="27" t="inlineStr">
        <is>
          <t>Parol bilan kirish</t>
        </is>
      </c>
      <c r="D7" s="28" t="inlineStr">
        <is>
          <t>Parolni yashirish va «ko'rsatish/yashirish» tugmasi</t>
        </is>
      </c>
      <c r="E7" s="29" t="inlineStr">
        <is>
          <t>P3</t>
        </is>
      </c>
      <c r="F7" s="29" t="inlineStr">
        <is>
          <t>UI</t>
        </is>
      </c>
      <c r="G7" s="27" t="inlineStr">
        <is>
          <t>Foydalanuvchi tizimga KIRMAGAN</t>
        </is>
      </c>
      <c r="H7" s="27" t="inlineStr">
        <is>
          <t>1. Kirish formasini (parol bilan) ochish
2. Parolni kiritish
3. «Ko'z» belgisini ikki marta bosish</t>
        </is>
      </c>
      <c r="I7" s="27" t="inlineStr"/>
      <c r="J7" s="27" t="inlineStr">
        <is>
          <t>Sukut bo'yicha parol yashirin (type=password); 1-bosishda ko'rinadi, 2-bosishda yana yashiriladi</t>
        </is>
      </c>
      <c r="K7" s="27" t="inlineStr"/>
      <c r="L7" s="29" t="inlineStr">
        <is>
          <t>Ha</t>
        </is>
      </c>
      <c r="M7" s="27" t="inlineStr"/>
      <c r="N7" s="29" t="inlineStr">
        <is>
          <t>Avtomatlashtirilgan</t>
        </is>
      </c>
      <c r="O7" s="27" t="inlineStr">
        <is>
          <t>storefront/auth/LoginTest#passwordIsMaskedByDefaultAndToggleRevealsIt</t>
        </is>
      </c>
      <c r="P7" s="29" t="inlineStr">
        <is>
          <t>Bajarilmagan</t>
        </is>
      </c>
      <c r="Q7" s="27" t="inlineStr"/>
    </row>
    <row r="8" ht="48" customHeight="1">
      <c r="A8" s="26" t="inlineStr">
        <is>
          <t>AUTH-007</t>
        </is>
      </c>
      <c r="B8" s="27" t="inlineStr">
        <is>
          <t>Avtorizatsiya va sessiya</t>
        </is>
      </c>
      <c r="C8" s="27" t="inlineStr">
        <is>
          <t>Kirish rejimlari</t>
        </is>
      </c>
      <c r="D8" s="28" t="inlineStr">
        <is>
          <t>SMS va parol bilan kirish rejimlari orasida almashish</t>
        </is>
      </c>
      <c r="E8" s="29" t="inlineStr">
        <is>
          <t>P2</t>
        </is>
      </c>
      <c r="F8" s="29" t="inlineStr">
        <is>
          <t>Functional</t>
        </is>
      </c>
      <c r="G8" s="27" t="inlineStr">
        <is>
          <t>Foydalanuvchi tizimga KIRMAGAN</t>
        </is>
      </c>
      <c r="H8" s="27" t="inlineStr">
        <is>
          <t>1. Kirish formasini ochish
2. «Parol bilan» rejimga o'tish
3. Yana «telefon orqali» rejimga qaytish</t>
        </is>
      </c>
      <c r="I8" s="27" t="inlineStr"/>
      <c r="J8" s="27" t="inlineStr">
        <is>
          <t>Forma maydonlari rejimga mos o'zgaradi, kiritilgan telefon yo'qolmaydi</t>
        </is>
      </c>
      <c r="K8" s="27" t="inlineStr"/>
      <c r="L8" s="29" t="inlineStr">
        <is>
          <t>Ha</t>
        </is>
      </c>
      <c r="M8" s="27" t="inlineStr"/>
      <c r="N8" s="29" t="inlineStr">
        <is>
          <t>Avtomatlashtirilgan</t>
        </is>
      </c>
      <c r="O8" s="27" t="inlineStr">
        <is>
          <t>storefront/auth/LoginTest#switchingBetweenPhoneAndPasswordLoginModes</t>
        </is>
      </c>
      <c r="P8" s="29" t="inlineStr">
        <is>
          <t>Bajarilmagan</t>
        </is>
      </c>
      <c r="Q8" s="27" t="inlineStr"/>
    </row>
    <row r="9" ht="62" customHeight="1">
      <c r="A9" s="26" t="inlineStr">
        <is>
          <t>AUTH-008</t>
        </is>
      </c>
      <c r="B9" s="27" t="inlineStr">
        <is>
          <t>Avtorizatsiya va sessiya</t>
        </is>
      </c>
      <c r="C9" s="27" t="inlineStr">
        <is>
          <t>SMS bilan kirish</t>
        </is>
      </c>
      <c r="D9" s="28" t="inlineStr">
        <is>
          <t>SMS-kod (OTP) bilan muvaffaqiyatli kirish</t>
        </is>
      </c>
      <c r="E9" s="29" t="inlineStr">
        <is>
          <t>P1</t>
        </is>
      </c>
      <c r="F9" s="29" t="inlineStr">
        <is>
          <t>Smoke</t>
        </is>
      </c>
      <c r="G9" s="27" t="inlineStr">
        <is>
          <t>Foydalanuvchi tizimga KIRMAGAN</t>
        </is>
      </c>
      <c r="H9" s="27" t="inlineStr">
        <is>
          <t>1. Kirish formasini (telefon orqali) ochish
2. Usta raqamini kiritib «Kod olish»ni bosish
3. SMS dagi kodni kiritish
4. Tasdiqlash</t>
        </is>
      </c>
      <c r="I9" s="27" t="inlineStr">
        <is>
          <t>Telefon: +998998987882</t>
        </is>
      </c>
      <c r="J9" s="27" t="inlineStr">
        <is>
          <t>Foydalanuvchi tizimga kirdi, sarlavhada foydalanuvchi ismi</t>
        </is>
      </c>
      <c r="K9" s="27" t="inlineStr"/>
      <c r="L9" s="29" t="inlineStr">
        <is>
          <t>Qisman</t>
        </is>
      </c>
      <c r="M9" s="27" t="inlineStr">
        <is>
          <t>staging uchun doimiy OTP yoki SMS-shlyuz/API ga kirish kerak</t>
        </is>
      </c>
      <c r="N9" s="29" t="inlineStr">
        <is>
          <t>Avtomatlashtirilmagan</t>
        </is>
      </c>
      <c r="O9" s="27" t="inlineStr"/>
      <c r="P9" s="29" t="inlineStr">
        <is>
          <t>Bajarilmagan</t>
        </is>
      </c>
      <c r="Q9" s="27" t="inlineStr"/>
    </row>
    <row r="10" ht="48" customHeight="1">
      <c r="A10" s="26" t="inlineStr">
        <is>
          <t>AUTH-009</t>
        </is>
      </c>
      <c r="B10" s="27" t="inlineStr">
        <is>
          <t>Avtorizatsiya va sessiya</t>
        </is>
      </c>
      <c r="C10" s="27" t="inlineStr">
        <is>
          <t>SMS bilan kirish</t>
        </is>
      </c>
      <c r="D10" s="28" t="inlineStr">
        <is>
          <t>Noto'g'ri SMS-kod bilan kirish</t>
        </is>
      </c>
      <c r="E10" s="29" t="inlineStr">
        <is>
          <t>P2</t>
        </is>
      </c>
      <c r="F10" s="29" t="inlineStr">
        <is>
          <t>Negative</t>
        </is>
      </c>
      <c r="G10" s="27" t="inlineStr">
        <is>
          <t>Foydalanuvchi tizimga KIRMAGAN</t>
        </is>
      </c>
      <c r="H10" s="27" t="inlineStr">
        <is>
          <t>1. Usta raqamiga kod so'rash
2. Noto'g'ri kodni kiritish
3. Tasdiqlash</t>
        </is>
      </c>
      <c r="I10" s="27" t="inlineStr">
        <is>
          <t>Kod: 000000</t>
        </is>
      </c>
      <c r="J10" s="27" t="inlineStr">
        <is>
          <t>«Kod noto'g'ri» xabari, kirish amalga oshmaydi</t>
        </is>
      </c>
      <c r="K10" s="27" t="inlineStr"/>
      <c r="L10" s="29" t="inlineStr">
        <is>
          <t>Qisman</t>
        </is>
      </c>
      <c r="M10" s="27" t="inlineStr">
        <is>
          <t>Kod yuborishni avtomatlashtirish mumkin, kodning o'zini — faqat test OTP bo'lsa</t>
        </is>
      </c>
      <c r="N10" s="29" t="inlineStr">
        <is>
          <t>Avtomatlashtirilmagan</t>
        </is>
      </c>
      <c r="O10" s="27" t="inlineStr"/>
      <c r="P10" s="29" t="inlineStr">
        <is>
          <t>Bajarilmagan</t>
        </is>
      </c>
      <c r="Q10" s="27" t="inlineStr"/>
    </row>
    <row r="11" ht="48" customHeight="1">
      <c r="A11" s="26" t="inlineStr">
        <is>
          <t>AUTH-010</t>
        </is>
      </c>
      <c r="B11" s="27" t="inlineStr">
        <is>
          <t>Avtorizatsiya va sessiya</t>
        </is>
      </c>
      <c r="C11" s="27" t="inlineStr">
        <is>
          <t>SMS bilan kirish</t>
        </is>
      </c>
      <c r="D11" s="28" t="inlineStr">
        <is>
          <t>Taymer va SMS-kodni qayta yuborish</t>
        </is>
      </c>
      <c r="E11" s="29" t="inlineStr">
        <is>
          <t>P3</t>
        </is>
      </c>
      <c r="F11" s="29" t="inlineStr">
        <is>
          <t>Functional</t>
        </is>
      </c>
      <c r="G11" s="27" t="inlineStr">
        <is>
          <t>Foydalanuvchi tizimga KIRMAGAN</t>
        </is>
      </c>
      <c r="H11" s="27" t="inlineStr">
        <is>
          <t>1. Kod so'rash
2. Taymer tugashini kutish
3. «Qayta yuborish»ni bosish</t>
        </is>
      </c>
      <c r="I11" s="27" t="inlineStr"/>
      <c r="J11" s="27" t="inlineStr">
        <is>
          <t>Taymer tugaguncha qayta yuborish mumkin emas; keyin kod qayta yuboriladi, taymer qayta boshlanadi</t>
        </is>
      </c>
      <c r="K11" s="27" t="inlineStr"/>
      <c r="L11" s="29" t="inlineStr">
        <is>
          <t>Qisman</t>
        </is>
      </c>
      <c r="M11" s="27" t="inlineStr">
        <is>
          <t>Taymerni kutish progon vaqtini oshiradi; staging da SMS limitlari</t>
        </is>
      </c>
      <c r="N11" s="29" t="inlineStr">
        <is>
          <t>Avtomatlashtirilmagan</t>
        </is>
      </c>
      <c r="O11" s="27" t="inlineStr"/>
      <c r="P11" s="29" t="inlineStr">
        <is>
          <t>Bajarilmagan</t>
        </is>
      </c>
      <c r="Q11" s="27" t="inlineStr"/>
    </row>
    <row r="12" ht="62" customHeight="1">
      <c r="A12" s="26" t="inlineStr">
        <is>
          <t>AUTH-011</t>
        </is>
      </c>
      <c r="B12" s="27" t="inlineStr">
        <is>
          <t>Avtorizatsiya va sessiya</t>
        </is>
      </c>
      <c r="C12" s="27" t="inlineStr">
        <is>
          <t>Parolni tiklash</t>
        </is>
      </c>
      <c r="D12" s="28" t="inlineStr">
        <is>
          <t>«Parolni unutdingizmi?» orqali parolni tiklash</t>
        </is>
      </c>
      <c r="E12" s="29" t="inlineStr">
        <is>
          <t>P2</t>
        </is>
      </c>
      <c r="F12" s="29" t="inlineStr">
        <is>
          <t>Functional</t>
        </is>
      </c>
      <c r="G12" s="27" t="inlineStr">
        <is>
          <t>Foydalanuvchi tizimga KIRMAGAN</t>
        </is>
      </c>
      <c r="H12" s="27" t="inlineStr">
        <is>
          <t>1. Kirish formasini (parol bilan) ochish
2. «Parolni unutdingizmi?»ni bosish
3. Telefonni kiritib, SMS-kod bilan tasdiqlash
4. Yangi parol o'rnatib, u bilan kirish</t>
        </is>
      </c>
      <c r="I12" s="27" t="inlineStr"/>
      <c r="J12" s="27" t="inlineStr">
        <is>
          <t>Parol o'zgardi, yangi parol bilan kirish muvaffaqiyatli, eskisi bilan — yo'q</t>
        </is>
      </c>
      <c r="K12" s="27" t="inlineStr"/>
      <c r="L12" s="29" t="inlineStr">
        <is>
          <t>Qisman</t>
        </is>
      </c>
      <c r="M12" s="27" t="inlineStr">
        <is>
          <t>OTP ga bog'liq; testdan keyin asl parolni qaytarish kerak</t>
        </is>
      </c>
      <c r="N12" s="29" t="inlineStr">
        <is>
          <t>Avtomatlashtirilmagan</t>
        </is>
      </c>
      <c r="O12" s="27" t="inlineStr"/>
      <c r="P12" s="29" t="inlineStr">
        <is>
          <t>Bajarilmagan</t>
        </is>
      </c>
      <c r="Q12" s="27" t="inlineStr"/>
    </row>
    <row r="13" ht="34" customHeight="1">
      <c r="A13" s="26" t="inlineStr">
        <is>
          <t>AUTH-012</t>
        </is>
      </c>
      <c r="B13" s="27" t="inlineStr">
        <is>
          <t>Avtorizatsiya va sessiya</t>
        </is>
      </c>
      <c r="C13" s="27" t="inlineStr">
        <is>
          <t>Sessiya</t>
        </is>
      </c>
      <c r="D13" s="28" t="inlineStr">
        <is>
          <t>Sessiya sahifa yangilanganda va yangi tabda saqlanadi</t>
        </is>
      </c>
      <c r="E13" s="29" t="inlineStr">
        <is>
          <t>P1</t>
        </is>
      </c>
      <c r="F13" s="29" t="inlineStr">
        <is>
          <t>Functional</t>
        </is>
      </c>
      <c r="G13" s="27" t="inlineStr">
        <is>
          <t>Foydalanuvchi Usta sifatida tizimga kirgan</t>
        </is>
      </c>
      <c r="H13" s="27" t="inlineStr">
        <is>
          <t>1. Sahifani yangilash (F5)
2. Saytni yangi tabda ochish</t>
        </is>
      </c>
      <c r="I13" s="27" t="inlineStr"/>
      <c r="J13" s="27" t="inlineStr">
        <is>
          <t>Ikkala holatda ham foydalanuvchi tizimda qoladi, savat va sarlavhadagi ism joyida</t>
        </is>
      </c>
      <c r="K13" s="27" t="inlineStr"/>
      <c r="L13" s="29" t="inlineStr">
        <is>
          <t>Ha</t>
        </is>
      </c>
      <c r="M13" s="27" t="inlineStr">
        <is>
          <t>Playwright storageState</t>
        </is>
      </c>
      <c r="N13" s="29" t="inlineStr">
        <is>
          <t>Avtomatlashtirilmagan</t>
        </is>
      </c>
      <c r="O13" s="27" t="inlineStr"/>
      <c r="P13" s="29" t="inlineStr">
        <is>
          <t>Bajarilmagan</t>
        </is>
      </c>
      <c r="Q13" s="27" t="inlineStr"/>
    </row>
    <row r="14" ht="48" customHeight="1">
      <c r="A14" s="26" t="inlineStr">
        <is>
          <t>AUTH-013</t>
        </is>
      </c>
      <c r="B14" s="27" t="inlineStr">
        <is>
          <t>Avtorizatsiya va sessiya</t>
        </is>
      </c>
      <c r="C14" s="27" t="inlineStr">
        <is>
          <t>Chiqish</t>
        </is>
      </c>
      <c r="D14" s="28" t="inlineStr">
        <is>
          <t>Tizimdan chiqish</t>
        </is>
      </c>
      <c r="E14" s="29" t="inlineStr">
        <is>
          <t>P1</t>
        </is>
      </c>
      <c r="F14" s="29" t="inlineStr">
        <is>
          <t>Smoke</t>
        </is>
      </c>
      <c r="G14" s="27" t="inlineStr">
        <is>
          <t>Foydalanuvchi Usta sifatida tizimga kirgan</t>
        </is>
      </c>
      <c r="H14" s="27" t="inlineStr">
        <is>
          <t>1. «Profil»ni ochish
2. «Tizimdan chiqish»ni bosish
3. Tasdiqlash (dialog bo'lsa)</t>
        </is>
      </c>
      <c r="I14" s="27" t="inlineStr"/>
      <c r="J14" s="27" t="inlineStr">
        <is>
          <t>Foydalanuvchi tizimdan chiqdi, sarlavhada «Kirish» tugmasi, /profile/* sahifalari ochilmaydi</t>
        </is>
      </c>
      <c r="K14" s="27" t="inlineStr"/>
      <c r="L14" s="29" t="inlineStr">
        <is>
          <t>Ha</t>
        </is>
      </c>
      <c r="M14" s="27" t="inlineStr"/>
      <c r="N14" s="29" t="inlineStr">
        <is>
          <t>Avtomatlashtirilmagan</t>
        </is>
      </c>
      <c r="O14" s="27" t="inlineStr"/>
      <c r="P14" s="29" t="inlineStr">
        <is>
          <t>Bajarilmagan</t>
        </is>
      </c>
      <c r="Q14" s="27" t="inlineStr"/>
    </row>
    <row r="15" ht="34" customHeight="1">
      <c r="A15" s="26" t="inlineStr">
        <is>
          <t>AUTH-014</t>
        </is>
      </c>
      <c r="B15" s="27" t="inlineStr">
        <is>
          <t>Avtorizatsiya va sessiya</t>
        </is>
      </c>
      <c r="C15" s="27" t="inlineStr">
        <is>
          <t>Kirish huquqi</t>
        </is>
      </c>
      <c r="D15" s="28" t="inlineStr">
        <is>
          <t>Yopiq sahifalar avtorizatsiyasiz ochilmaydi</t>
        </is>
      </c>
      <c r="E15" s="29" t="inlineStr">
        <is>
          <t>P2</t>
        </is>
      </c>
      <c r="F15" s="29" t="inlineStr">
        <is>
          <t>Security</t>
        </is>
      </c>
      <c r="G15" s="27" t="inlineStr">
        <is>
          <t>Foydalanuvchi tizimga KIRMAGAN</t>
        </is>
      </c>
      <c r="H15" s="27" t="inlineStr">
        <is>
          <t>1. To'g'ridan-to'g'ri /uz/profile/account, /uz/profile/orders, /uz/confirmation ni ochish</t>
        </is>
      </c>
      <c r="I15" s="27" t="inlineStr"/>
      <c r="J15" s="27" t="inlineStr">
        <is>
          <t>Kirish formasi ko'rsatiladi yoki bosh sahifaga yo'naltiriladi; shaxsiy ma'lumotlar ko'rinmaydi</t>
        </is>
      </c>
      <c r="K15" s="27" t="inlineStr"/>
      <c r="L15" s="29" t="inlineStr">
        <is>
          <t>Ha</t>
        </is>
      </c>
      <c r="M15" s="27" t="inlineStr"/>
      <c r="N15" s="29" t="inlineStr">
        <is>
          <t>Avtomatlashtirilmagan</t>
        </is>
      </c>
      <c r="O15" s="27" t="inlineStr"/>
      <c r="P15" s="29" t="inlineStr">
        <is>
          <t>Bajarilmagan</t>
        </is>
      </c>
      <c r="Q15" s="27" t="inlineStr"/>
    </row>
    <row r="16" ht="48" customHeight="1">
      <c r="A16" s="26" t="inlineStr">
        <is>
          <t>AUTH-015</t>
        </is>
      </c>
      <c r="B16" s="27" t="inlineStr">
        <is>
          <t>Avtorizatsiya va sessiya</t>
        </is>
      </c>
      <c r="C16" s="27" t="inlineStr">
        <is>
          <t>Kirish huquqi</t>
        </is>
      </c>
      <c r="D16" s="28" t="inlineStr">
        <is>
          <t>Avtorizatsiyasiz buyurtma berish kirishni talab qiladi</t>
        </is>
      </c>
      <c r="E16" s="29" t="inlineStr">
        <is>
          <t>P2</t>
        </is>
      </c>
      <c r="F16" s="29" t="inlineStr">
        <is>
          <t>Functional</t>
        </is>
      </c>
      <c r="G16" s="27" t="inlineStr">
        <is>
          <t>Foydalanuvchi tizimga KIRMAGAN</t>
        </is>
      </c>
      <c r="H16" s="27" t="inlineStr">
        <is>
          <t>1. Savatga mahsulot qo'shish
2. Savatga o'tish
3. «Rasmiylashtirish»ni bosish</t>
        </is>
      </c>
      <c r="I16" s="27" t="inlineStr"/>
      <c r="J16" s="27" t="inlineStr">
        <is>
          <t>Kirish formasi ochiladi; kirgandan keyin foydalanuvchi rasmiylashtirishga qaytadi, savat saqlanadi</t>
        </is>
      </c>
      <c r="K16" s="27" t="inlineStr"/>
      <c r="L16" s="29" t="inlineStr">
        <is>
          <t>Ha</t>
        </is>
      </c>
      <c r="M16" s="27" t="inlineStr"/>
      <c r="N16" s="29" t="inlineStr">
        <is>
          <t>Avtomatlashtirilmagan</t>
        </is>
      </c>
      <c r="O16" s="27" t="inlineStr"/>
      <c r="P16" s="29" t="inlineStr">
        <is>
          <t>Bajarilmagan</t>
        </is>
      </c>
      <c r="Q16" s="27" t="inlineStr"/>
    </row>
    <row r="17" ht="34" customHeight="1">
      <c r="A17" s="30" t="inlineStr">
        <is>
          <t>HDR-001</t>
        </is>
      </c>
      <c r="B17" s="31" t="inlineStr">
        <is>
          <t>Sarlavha, futer va navigatsiya</t>
        </is>
      </c>
      <c r="C17" s="31" t="inlineStr">
        <is>
          <t>Sarlavha</t>
        </is>
      </c>
      <c r="D17" s="32" t="inlineStr">
        <is>
          <t>Logotip bosh sahifaga olib boradi</t>
        </is>
      </c>
      <c r="E17" s="33" t="inlineStr">
        <is>
          <t>P3</t>
        </is>
      </c>
      <c r="F17" s="33" t="inlineStr">
        <is>
          <t>UI</t>
        </is>
      </c>
      <c r="G17" s="31" t="inlineStr">
        <is>
          <t>Foydalanuvchi Usta sifatida tizimga kirgan</t>
        </is>
      </c>
      <c r="H17" s="31" t="inlineStr">
        <is>
          <t>1. Istalgan ichki sahifani ochish
2. Aros logotipini bosish</t>
        </is>
      </c>
      <c r="I17" s="31" t="inlineStr"/>
      <c r="J17" s="31" t="inlineStr">
        <is>
          <t>Bosh sahifa /uz ochildi</t>
        </is>
      </c>
      <c r="K17" s="31" t="inlineStr"/>
      <c r="L17" s="33" t="inlineStr">
        <is>
          <t>Ha</t>
        </is>
      </c>
      <c r="M17" s="31" t="inlineStr"/>
      <c r="N17" s="33" t="inlineStr">
        <is>
          <t>Avtomatlashtirilmagan</t>
        </is>
      </c>
      <c r="O17" s="31" t="inlineStr"/>
      <c r="P17" s="33" t="inlineStr">
        <is>
          <t>Bajarilmagan</t>
        </is>
      </c>
      <c r="Q17" s="31" t="inlineStr"/>
    </row>
    <row r="18" ht="34" customHeight="1">
      <c r="A18" s="30" t="inlineStr">
        <is>
          <t>HDR-002</t>
        </is>
      </c>
      <c r="B18" s="31" t="inlineStr">
        <is>
          <t>Sarlavha, futer va navigatsiya</t>
        </is>
      </c>
      <c r="C18" s="31" t="inlineStr">
        <is>
          <t>Sarlavha</t>
        </is>
      </c>
      <c r="D18" s="32" t="inlineStr">
        <is>
          <t>Sarlavhadagi kontaktlar va ish vaqti</t>
        </is>
      </c>
      <c r="E18" s="33" t="inlineStr">
        <is>
          <t>P3</t>
        </is>
      </c>
      <c r="F18" s="33" t="inlineStr">
        <is>
          <t>UI</t>
        </is>
      </c>
      <c r="G18" s="31" t="inlineStr">
        <is>
          <t>Foydalanuvchi Usta sifatida tizimga kirgan</t>
        </is>
      </c>
      <c r="H18" s="31" t="inlineStr">
        <is>
          <t>1. Bosh sahifani ochish
2. «Bog'lanish» va «Ish vaqti» blokini tekshirish</t>
        </is>
      </c>
      <c r="I18" s="31" t="inlineStr"/>
      <c r="J18" s="31" t="inlineStr">
        <is>
          <t>Telefon +998 91 812 77 70 (tel: havolasi), ish vaqti 09:00 - 20:00 (Dushanba - Shanba)</t>
        </is>
      </c>
      <c r="K18" s="31" t="inlineStr"/>
      <c r="L18" s="33" t="inlineStr">
        <is>
          <t>Ha</t>
        </is>
      </c>
      <c r="M18" s="31" t="inlineStr">
        <is>
          <t>Matn va href tekshiruvi</t>
        </is>
      </c>
      <c r="N18" s="33" t="inlineStr">
        <is>
          <t>Avtomatlashtirilmagan</t>
        </is>
      </c>
      <c r="O18" s="31" t="inlineStr"/>
      <c r="P18" s="33" t="inlineStr">
        <is>
          <t>Bajarilmagan</t>
        </is>
      </c>
      <c r="Q18" s="31" t="inlineStr"/>
    </row>
    <row r="19" ht="48" customHeight="1">
      <c r="A19" s="30" t="inlineStr">
        <is>
          <t>HDR-003</t>
        </is>
      </c>
      <c r="B19" s="31" t="inlineStr">
        <is>
          <t>Sarlavha, futer va navigatsiya</t>
        </is>
      </c>
      <c r="C19" s="31" t="inlineStr">
        <is>
          <t>Do'kon tanlash</t>
        </is>
      </c>
      <c r="D19" s="32" t="inlineStr">
        <is>
          <t>Do'kon tanlash oynasini ochish</t>
        </is>
      </c>
      <c r="E19" s="33" t="inlineStr">
        <is>
          <t>P2</t>
        </is>
      </c>
      <c r="F19" s="33" t="inlineStr">
        <is>
          <t>Functional</t>
        </is>
      </c>
      <c r="G19" s="31" t="inlineStr">
        <is>
          <t>Foydalanuvchi Usta sifatida tizimga kirgan</t>
        </is>
      </c>
      <c r="H19" s="31" t="inlineStr">
        <is>
          <t>1. Sarlavhadagi do'kon nomini bosish («O'rikzor Mobile Sentr»)</t>
        </is>
      </c>
      <c r="I19" s="31" t="inlineStr"/>
      <c r="J19" s="31" t="inlineStr">
        <is>
          <t>Manzil tanlash oynasi ochildi: «Viloyat», «Tuman/Shahar» maydonlari, manzil, mo'ljal, telefon ko'rsatilgan do'konlar ro'yxati; «Saqlash» tugmasi</t>
        </is>
      </c>
      <c r="K19" s="31" t="inlineStr"/>
      <c r="L19" s="33" t="inlineStr">
        <is>
          <t>Ha</t>
        </is>
      </c>
      <c r="M19" s="31" t="inlineStr"/>
      <c r="N19" s="33" t="inlineStr">
        <is>
          <t>Avtomatlashtirilmagan</t>
        </is>
      </c>
      <c r="O19" s="31" t="inlineStr"/>
      <c r="P19" s="33" t="inlineStr">
        <is>
          <t>Bajarilmagan</t>
        </is>
      </c>
      <c r="Q19" s="31" t="inlineStr"/>
    </row>
    <row r="20" ht="48" customHeight="1">
      <c r="A20" s="30" t="inlineStr">
        <is>
          <t>HDR-004</t>
        </is>
      </c>
      <c r="B20" s="31" t="inlineStr">
        <is>
          <t>Sarlavha, futer va navigatsiya</t>
        </is>
      </c>
      <c r="C20" s="31" t="inlineStr">
        <is>
          <t>Do'kon tanlash</t>
        </is>
      </c>
      <c r="D20" s="32" t="inlineStr">
        <is>
          <t>Do'konlarni viloyat va tuman bo'yicha filtrlash</t>
        </is>
      </c>
      <c r="E20" s="33" t="inlineStr">
        <is>
          <t>P2</t>
        </is>
      </c>
      <c r="F20" s="33" t="inlineStr">
        <is>
          <t>Functional</t>
        </is>
      </c>
      <c r="G20" s="31" t="inlineStr">
        <is>
          <t>Foydalanuvchi Usta sifatida tizimga kirgan</t>
        </is>
      </c>
      <c r="H20" s="31" t="inlineStr">
        <is>
          <t>1. Do'kon tanlash oynasini ochish
2. Viloyatni tanlash
3. Tuman/shaharni tanlash</t>
        </is>
      </c>
      <c r="I20" s="31" t="inlineStr">
        <is>
          <t>Viloyat: Toshkent shahar</t>
        </is>
      </c>
      <c r="J20" s="31" t="inlineStr">
        <is>
          <t>Do'konlar ro'yxati tanlangan joy bo'yicha filtrlandi</t>
        </is>
      </c>
      <c r="K20" s="31" t="inlineStr"/>
      <c r="L20" s="33" t="inlineStr">
        <is>
          <t>Ha</t>
        </is>
      </c>
      <c r="M20" s="31" t="inlineStr"/>
      <c r="N20" s="33" t="inlineStr">
        <is>
          <t>Avtomatlashtirilmagan</t>
        </is>
      </c>
      <c r="O20" s="31" t="inlineStr"/>
      <c r="P20" s="33" t="inlineStr">
        <is>
          <t>Bajarilmagan</t>
        </is>
      </c>
      <c r="Q20" s="31" t="inlineStr"/>
    </row>
    <row r="21" ht="76" customHeight="1">
      <c r="A21" s="30" t="inlineStr">
        <is>
          <t>HDR-005</t>
        </is>
      </c>
      <c r="B21" s="31" t="inlineStr">
        <is>
          <t>Sarlavha, futer va navigatsiya</t>
        </is>
      </c>
      <c r="C21" s="31" t="inlineStr">
        <is>
          <t>Do'kon tanlash</t>
        </is>
      </c>
      <c r="D21" s="32" t="inlineStr">
        <is>
          <t>Do'konni almashtirish va saqlash</t>
        </is>
      </c>
      <c r="E21" s="33" t="inlineStr">
        <is>
          <t>P1</t>
        </is>
      </c>
      <c r="F21" s="33" t="inlineStr">
        <is>
          <t>Functional</t>
        </is>
      </c>
      <c r="G21" s="31" t="inlineStr">
        <is>
          <t>Foydalanuvchi Usta sifatida tizimga kirgan</t>
        </is>
      </c>
      <c r="H21" s="31" t="inlineStr">
        <is>
          <t>1. Do'kon tanlash oynasini ochish
2. Boshqa do'konni tanlash (masalan, «Izza Showroom»)
3. «Saqlash»ni bosish
4. Istalgan mahsulotni ochish</t>
        </is>
      </c>
      <c r="I21" s="31" t="inlineStr"/>
      <c r="J21" s="31" t="inlineStr">
        <is>
          <t>Sarlavhada tanlangan do'kon ko'rinadi; mahsulotlar mavjudligi va yetkazish muddati unga moslab qayta hisoblandi; tanlov sahifa yangilanganda saqlanadi</t>
        </is>
      </c>
      <c r="K21" s="31" t="inlineStr"/>
      <c r="L21" s="33" t="inlineStr">
        <is>
          <t>Qisman</t>
        </is>
      </c>
      <c r="M21" s="31" t="inlineStr">
        <is>
          <t>Almashtirish va saqlash — ha; qoldiqlar to'g'riligi ma'lumotlarga bog'liq</t>
        </is>
      </c>
      <c r="N21" s="33" t="inlineStr">
        <is>
          <t>Avtomatlashtirilmagan</t>
        </is>
      </c>
      <c r="O21" s="31" t="inlineStr"/>
      <c r="P21" s="33" t="inlineStr">
        <is>
          <t>Bajarilmagan</t>
        </is>
      </c>
      <c r="Q21" s="31" t="inlineStr"/>
    </row>
    <row r="22" ht="48" customHeight="1">
      <c r="A22" s="30" t="inlineStr">
        <is>
          <t>HDR-006</t>
        </is>
      </c>
      <c r="B22" s="31" t="inlineStr">
        <is>
          <t>Sarlavha, futer va navigatsiya</t>
        </is>
      </c>
      <c r="C22" s="31" t="inlineStr">
        <is>
          <t>Sarlavha</t>
        </is>
      </c>
      <c r="D22" s="32" t="inlineStr">
        <is>
          <t>Savat, sevimlilar va profil belgilari</t>
        </is>
      </c>
      <c r="E22" s="33" t="inlineStr">
        <is>
          <t>P2</t>
        </is>
      </c>
      <c r="F22" s="33" t="inlineStr">
        <is>
          <t>UI</t>
        </is>
      </c>
      <c r="G22" s="31" t="inlineStr">
        <is>
          <t>Foydalanuvchi Usta sifatida tizimga kirgan</t>
        </is>
      </c>
      <c r="H22" s="31" t="inlineStr">
        <is>
          <t>1. Savat belgisini bosish
2. Yurak belgisini bosish
3. Foydalanuvchi ismini bosish</t>
        </is>
      </c>
      <c r="I22" s="31" t="inlineStr"/>
      <c r="J22" s="31" t="inlineStr">
        <is>
          <t>/uz/cart, /uz/favourites, /uz/profile/account ochiladi; savat belgisida pozitsiyalar soni ko'rsatilgan nishon</t>
        </is>
      </c>
      <c r="K22" s="31" t="inlineStr"/>
      <c r="L22" s="33" t="inlineStr">
        <is>
          <t>Ha</t>
        </is>
      </c>
      <c r="M22" s="31" t="inlineStr"/>
      <c r="N22" s="33" t="inlineStr">
        <is>
          <t>Avtomatlashtirilmagan</t>
        </is>
      </c>
      <c r="O22" s="31" t="inlineStr"/>
      <c r="P22" s="33" t="inlineStr">
        <is>
          <t>Bajarilmagan</t>
        </is>
      </c>
      <c r="Q22" s="31" t="inlineStr"/>
    </row>
    <row r="23" ht="76" customHeight="1">
      <c r="A23" s="30" t="inlineStr">
        <is>
          <t>HDR-007</t>
        </is>
      </c>
      <c r="B23" s="31" t="inlineStr">
        <is>
          <t>Sarlavha, futer va navigatsiya</t>
        </is>
      </c>
      <c r="C23" s="31" t="inlineStr">
        <is>
          <t>Futer</t>
        </is>
      </c>
      <c r="D23" s="32" t="inlineStr">
        <is>
          <t>«Biz haqimizda» va «Mijoz uchun» bloklaridagi havolalar</t>
        </is>
      </c>
      <c r="E23" s="33" t="inlineStr">
        <is>
          <t>P2</t>
        </is>
      </c>
      <c r="F23" s="33" t="inlineStr">
        <is>
          <t>Functional</t>
        </is>
      </c>
      <c r="G23" s="31" t="inlineStr">
        <is>
          <t>Foydalanuvchi Usta sifatida tizimga kirgan</t>
        </is>
      </c>
      <c r="H23" s="31" t="inlineStr">
        <is>
          <t>1. Pastga aylantirish
2. Ketma-ket ochish: Biz haqimizda, To'lov turlari, Hamkorlik, Ball tizimi, Maxfiylik siyosati, Ommaviy oferta, Yetkazib berish, Mahsulot holati, Mahsulot kafolati, To'lov turi, Sharh qoldirish</t>
        </is>
      </c>
      <c r="I23" s="31" t="inlineStr"/>
      <c r="J23" s="31" t="inlineStr">
        <is>
          <t>Har bir havola kontentli sahifani ochadi (404 emas); /coming-soon zaglushkalari ma'lum ro'yxat sifatida qayd etiladi</t>
        </is>
      </c>
      <c r="K23" s="31" t="inlineStr"/>
      <c r="L23" s="33" t="inlineStr">
        <is>
          <t>Ha</t>
        </is>
      </c>
      <c r="M23" s="31" t="inlineStr">
        <is>
          <t>Sahifa statusi va sarlavhalarini tekshirish</t>
        </is>
      </c>
      <c r="N23" s="33" t="inlineStr">
        <is>
          <t>Avtomatlashtirilmagan</t>
        </is>
      </c>
      <c r="O23" s="31" t="inlineStr"/>
      <c r="P23" s="33" t="inlineStr">
        <is>
          <t>Bajarilmagan</t>
        </is>
      </c>
      <c r="Q23" s="31" t="inlineStr"/>
    </row>
    <row r="24" ht="48" customHeight="1">
      <c r="A24" s="30" t="inlineStr">
        <is>
          <t>HDR-008</t>
        </is>
      </c>
      <c r="B24" s="31" t="inlineStr">
        <is>
          <t>Sarlavha, futer va navigatsiya</t>
        </is>
      </c>
      <c r="C24" s="31" t="inlineStr">
        <is>
          <t>Futer</t>
        </is>
      </c>
      <c r="D24" s="32" t="inlineStr">
        <is>
          <t>Futerdagi kontaktlar va ijtimoiy tarmoqlar</t>
        </is>
      </c>
      <c r="E24" s="33" t="inlineStr">
        <is>
          <t>P3</t>
        </is>
      </c>
      <c r="F24" s="33" t="inlineStr">
        <is>
          <t>UI</t>
        </is>
      </c>
      <c r="G24" s="31" t="inlineStr">
        <is>
          <t>Foydalanuvchi Usta sifatida tizimga kirgan</t>
        </is>
      </c>
      <c r="H24" s="31" t="inlineStr">
        <is>
          <t>1. Telefon, e-mail, manzil, Telegram, ijtimoiy tarmoq belgilarini tekshirish</t>
        </is>
      </c>
      <c r="I24" s="31" t="inlineStr"/>
      <c r="J24" s="31" t="inlineStr">
        <is>
          <t>tel:, mailto:, Telegram/Instagram/YouTube/LinkedIn havolalari to'g'ri tashqi manzillarga olib boradi va yangi tabda ochiladi</t>
        </is>
      </c>
      <c r="K24" s="31" t="inlineStr"/>
      <c r="L24" s="33" t="inlineStr">
        <is>
          <t>Qisman</t>
        </is>
      </c>
      <c r="M24" s="31" t="inlineStr">
        <is>
          <t>Faqat href tekshiriladi, tashqi saytlar ochilmaydi</t>
        </is>
      </c>
      <c r="N24" s="33" t="inlineStr">
        <is>
          <t>Avtomatlashtirilmagan</t>
        </is>
      </c>
      <c r="O24" s="31" t="inlineStr"/>
      <c r="P24" s="33" t="inlineStr">
        <is>
          <t>Bajarilmagan</t>
        </is>
      </c>
      <c r="Q24" s="31" t="inlineStr"/>
    </row>
    <row r="25" ht="48" customHeight="1">
      <c r="A25" s="30" t="inlineStr">
        <is>
          <t>HDR-009</t>
        </is>
      </c>
      <c r="B25" s="31" t="inlineStr">
        <is>
          <t>Sarlavha, futer va navigatsiya</t>
        </is>
      </c>
      <c r="C25" s="31" t="inlineStr">
        <is>
          <t>Futer</t>
        </is>
      </c>
      <c r="D25" s="32" t="inlineStr">
        <is>
          <t>Ilovani yuklab olish uchun QR-kod</t>
        </is>
      </c>
      <c r="E25" s="33" t="inlineStr">
        <is>
          <t>P3</t>
        </is>
      </c>
      <c r="F25" s="33" t="inlineStr">
        <is>
          <t>UI</t>
        </is>
      </c>
      <c r="G25" s="31" t="inlineStr">
        <is>
          <t>Foydalanuvchi Usta sifatida tizimga kirgan</t>
        </is>
      </c>
      <c r="H25" s="31" t="inlineStr">
        <is>
          <t>1. «Kamerangizni yo'nalting va Aros market ilovasini yuklab oling» blokini topish
2. QR-kodni telefon bilan skanerlash</t>
        </is>
      </c>
      <c r="I25" s="31" t="inlineStr"/>
      <c r="J25" s="31" t="inlineStr">
        <is>
          <t>QR-kod ko'rinadi; skanerlanganda do'konda Aros Market ilovasi sahifasi ochiladi</t>
        </is>
      </c>
      <c r="K25" s="31" t="inlineStr"/>
      <c r="L25" s="33" t="inlineStr">
        <is>
          <t>Yo'q</t>
        </is>
      </c>
      <c r="M25" s="31" t="inlineStr">
        <is>
          <t>QR-kodni skanerlash uchun haqiqiy qurilma kerak</t>
        </is>
      </c>
      <c r="N25" s="33" t="inlineStr">
        <is>
          <t>Avtomatlashtirilmagan</t>
        </is>
      </c>
      <c r="O25" s="31" t="inlineStr"/>
      <c r="P25" s="33" t="inlineStr">
        <is>
          <t>Bajarilmagan</t>
        </is>
      </c>
      <c r="Q25" s="31" t="inlineStr"/>
    </row>
    <row r="26" ht="62" customHeight="1">
      <c r="A26" s="26" t="inlineStr">
        <is>
          <t>HOME-001</t>
        </is>
      </c>
      <c r="B26" s="27" t="inlineStr">
        <is>
          <t>Bosh sahifa</t>
        </is>
      </c>
      <c r="C26" s="27" t="inlineStr">
        <is>
          <t>Yuklanish</t>
        </is>
      </c>
      <c r="D26" s="28" t="inlineStr">
        <is>
          <t>Bosh sahifa barcha bo'limlari bilan yuklanadi</t>
        </is>
      </c>
      <c r="E26" s="29" t="inlineStr">
        <is>
          <t>P1</t>
        </is>
      </c>
      <c r="F26" s="29" t="inlineStr">
        <is>
          <t>Smoke</t>
        </is>
      </c>
      <c r="G26" s="27" t="inlineStr">
        <is>
          <t>Foydalanuvchi Usta sifatida tizimga kirgan</t>
        </is>
      </c>
      <c r="H26" s="27" t="inlineStr">
        <is>
          <t>1. https://staging.aros.uz/uz ni ochish</t>
        </is>
      </c>
      <c r="I26" s="27" t="inlineStr"/>
      <c r="J26" s="27" t="inlineStr">
        <is>
          <t>Ko'rinadi: sarlavha, banner-slayder, «Chegirmadagi mahsulotlar», yangi mahsulotlar, mashhur mahsulotlar bo'limlari, futer; konsolda xato va 5xx so'rovlar yo'q</t>
        </is>
      </c>
      <c r="K26" s="27" t="inlineStr"/>
      <c r="L26" s="29" t="inlineStr">
        <is>
          <t>Ha</t>
        </is>
      </c>
      <c r="M26" s="27" t="inlineStr"/>
      <c r="N26" s="29" t="inlineStr">
        <is>
          <t>Avtomatlashtirilmagan</t>
        </is>
      </c>
      <c r="O26" s="27" t="inlineStr"/>
      <c r="P26" s="29" t="inlineStr">
        <is>
          <t>Bajarilmagan</t>
        </is>
      </c>
      <c r="Q26" s="27" t="inlineStr"/>
    </row>
    <row r="27" ht="48" customHeight="1">
      <c r="A27" s="26" t="inlineStr">
        <is>
          <t>HOME-002</t>
        </is>
      </c>
      <c r="B27" s="27" t="inlineStr">
        <is>
          <t>Bosh sahifa</t>
        </is>
      </c>
      <c r="C27" s="27" t="inlineStr">
        <is>
          <t>Bannerlar</t>
        </is>
      </c>
      <c r="D27" s="28" t="inlineStr">
        <is>
          <t>Banner-slayder: strelkalar va indikatorlar</t>
        </is>
      </c>
      <c r="E27" s="29" t="inlineStr">
        <is>
          <t>P3</t>
        </is>
      </c>
      <c r="F27" s="29" t="inlineStr">
        <is>
          <t>UI</t>
        </is>
      </c>
      <c r="G27" s="27" t="inlineStr">
        <is>
          <t>Foydalanuvchi Usta sifatida tizimga kirgan</t>
        </is>
      </c>
      <c r="H27" s="27" t="inlineStr">
        <is>
          <t>1. Chap/o'ng strelkalarni bosish
2. Nuqta-indikatorlarni bosish
3. Avto-aylanishni kutish</t>
        </is>
      </c>
      <c r="I27" s="27" t="inlineStr"/>
      <c r="J27" s="27" t="inlineStr">
        <is>
          <t>Slaydlar almashadi; faol nuqta slaydga mos; rasmlar buzilmagan</t>
        </is>
      </c>
      <c r="K27" s="27" t="inlineStr"/>
      <c r="L27" s="29" t="inlineStr">
        <is>
          <t>Qisman</t>
        </is>
      </c>
      <c r="M27" s="27" t="inlineStr">
        <is>
          <t>Almashish — ha, vizual sifat — skrinshot taqqoslash</t>
        </is>
      </c>
      <c r="N27" s="29" t="inlineStr">
        <is>
          <t>Avtomatlashtirilmagan</t>
        </is>
      </c>
      <c r="O27" s="27" t="inlineStr"/>
      <c r="P27" s="29" t="inlineStr">
        <is>
          <t>Bajarilmagan</t>
        </is>
      </c>
      <c r="Q27" s="27" t="inlineStr"/>
    </row>
    <row r="28" ht="34" customHeight="1">
      <c r="A28" s="26" t="inlineStr">
        <is>
          <t>HOME-003</t>
        </is>
      </c>
      <c r="B28" s="27" t="inlineStr">
        <is>
          <t>Bosh sahifa</t>
        </is>
      </c>
      <c r="C28" s="27" t="inlineStr">
        <is>
          <t>Bo'limlar</t>
        </is>
      </c>
      <c r="D28" s="28" t="inlineStr">
        <is>
          <t>«Chegirmadagi mahsulotlar» → «Barchasi»</t>
        </is>
      </c>
      <c r="E28" s="29" t="inlineStr">
        <is>
          <t>P2</t>
        </is>
      </c>
      <c r="F28" s="29" t="inlineStr">
        <is>
          <t>Functional</t>
        </is>
      </c>
      <c r="G28" s="27" t="inlineStr">
        <is>
          <t>Foydalanuvchi Usta sifatida tizimga kirgan</t>
        </is>
      </c>
      <c r="H28" s="27" t="inlineStr">
        <is>
          <t>1. «Chegirmadagi mahsulotlar» bo'limida «Barchasi»ni bosish</t>
        </is>
      </c>
      <c r="I28" s="27" t="inlineStr"/>
      <c r="J28" s="27" t="inlineStr">
        <is>
          <t>/uz/sections/onsale chegirmadagi mahsulotlar ro'yxati bilan ochildi</t>
        </is>
      </c>
      <c r="K28" s="27" t="inlineStr"/>
      <c r="L28" s="29" t="inlineStr">
        <is>
          <t>Ha</t>
        </is>
      </c>
      <c r="M28" s="27" t="inlineStr"/>
      <c r="N28" s="29" t="inlineStr">
        <is>
          <t>Avtomatlashtirilmagan</t>
        </is>
      </c>
      <c r="O28" s="27" t="inlineStr"/>
      <c r="P28" s="29" t="inlineStr">
        <is>
          <t>Bajarilmagan</t>
        </is>
      </c>
      <c r="Q28" s="27" t="inlineStr"/>
    </row>
    <row r="29" ht="34" customHeight="1">
      <c r="A29" s="26" t="inlineStr">
        <is>
          <t>HOME-004</t>
        </is>
      </c>
      <c r="B29" s="27" t="inlineStr">
        <is>
          <t>Bosh sahifa</t>
        </is>
      </c>
      <c r="C29" s="27" t="inlineStr">
        <is>
          <t>Bo'limlar</t>
        </is>
      </c>
      <c r="D29" s="28" t="inlineStr">
        <is>
          <t>Yangi mahsulotlar → «Barchasi»</t>
        </is>
      </c>
      <c r="E29" s="29" t="inlineStr">
        <is>
          <t>P2</t>
        </is>
      </c>
      <c r="F29" s="29" t="inlineStr">
        <is>
          <t>Functional</t>
        </is>
      </c>
      <c r="G29" s="27" t="inlineStr">
        <is>
          <t>Foydalanuvchi Usta sifatida tizimga kirgan</t>
        </is>
      </c>
      <c r="H29" s="27" t="inlineStr">
        <is>
          <t>1. Yangi mahsulotlar bo'limida «Barchasi»ni bosish</t>
        </is>
      </c>
      <c r="I29" s="27" t="inlineStr"/>
      <c r="J29" s="27" t="inlineStr">
        <is>
          <t>Yangi mahsulotlar ro'yxati ochildi, mahsulotlar yangidan eskiga tartiblangan</t>
        </is>
      </c>
      <c r="K29" s="27" t="inlineStr"/>
      <c r="L29" s="29" t="inlineStr">
        <is>
          <t>Ha</t>
        </is>
      </c>
      <c r="M29" s="27" t="inlineStr"/>
      <c r="N29" s="29" t="inlineStr">
        <is>
          <t>Avtomatlashtirilmagan</t>
        </is>
      </c>
      <c r="O29" s="27" t="inlineStr"/>
      <c r="P29" s="29" t="inlineStr">
        <is>
          <t>Bajarilmagan</t>
        </is>
      </c>
      <c r="Q29" s="27" t="inlineStr"/>
    </row>
    <row r="30" ht="34" customHeight="1">
      <c r="A30" s="26" t="inlineStr">
        <is>
          <t>HOME-005</t>
        </is>
      </c>
      <c r="B30" s="27" t="inlineStr">
        <is>
          <t>Bosh sahifa</t>
        </is>
      </c>
      <c r="C30" s="27" t="inlineStr">
        <is>
          <t>Bo'limlar</t>
        </is>
      </c>
      <c r="D30" s="28" t="inlineStr">
        <is>
          <t>Mashhur mahsulotlar → «Barchasi»</t>
        </is>
      </c>
      <c r="E30" s="29" t="inlineStr">
        <is>
          <t>P2</t>
        </is>
      </c>
      <c r="F30" s="29" t="inlineStr">
        <is>
          <t>Functional</t>
        </is>
      </c>
      <c r="G30" s="27" t="inlineStr">
        <is>
          <t>Foydalanuvchi Usta sifatida tizimga kirgan</t>
        </is>
      </c>
      <c r="H30" s="27" t="inlineStr">
        <is>
          <t>1. Mashhur mahsulotlar bo'limida «Barchasi»ni bosish</t>
        </is>
      </c>
      <c r="I30" s="27" t="inlineStr"/>
      <c r="J30" s="27" t="inlineStr">
        <is>
          <t>Mashhur mahsulotlar ro'yxati ochildi</t>
        </is>
      </c>
      <c r="K30" s="27" t="inlineStr"/>
      <c r="L30" s="29" t="inlineStr">
        <is>
          <t>Ha</t>
        </is>
      </c>
      <c r="M30" s="27" t="inlineStr"/>
      <c r="N30" s="29" t="inlineStr">
        <is>
          <t>Avtomatlashtirilmagan</t>
        </is>
      </c>
      <c r="O30" s="27" t="inlineStr"/>
      <c r="P30" s="29" t="inlineStr">
        <is>
          <t>Bajarilmagan</t>
        </is>
      </c>
      <c r="Q30" s="27" t="inlineStr"/>
    </row>
    <row r="31" ht="62" customHeight="1">
      <c r="A31" s="26" t="inlineStr">
        <is>
          <t>HOME-006</t>
        </is>
      </c>
      <c r="B31" s="27" t="inlineStr">
        <is>
          <t>Bosh sahifa</t>
        </is>
      </c>
      <c r="C31" s="27" t="inlineStr">
        <is>
          <t>Mahsulot kartochkasi</t>
        </is>
      </c>
      <c r="D31" s="28" t="inlineStr">
        <is>
          <t>Ro'yxatdagi mahsulot kartochkasi tarkibi</t>
        </is>
      </c>
      <c r="E31" s="29" t="inlineStr">
        <is>
          <t>P2</t>
        </is>
      </c>
      <c r="F31" s="29" t="inlineStr">
        <is>
          <t>UI</t>
        </is>
      </c>
      <c r="G31" s="27" t="inlineStr">
        <is>
          <t>Foydalanuvchi Usta sifatida tizimga kirgan</t>
        </is>
      </c>
      <c r="H31" s="27" t="inlineStr">
        <is>
          <t>1. Bosh sahifadagi kartochkalarni ko'rib chiqish</t>
        </is>
      </c>
      <c r="I31" s="27" t="inlineStr"/>
      <c r="J31" s="27" t="inlineStr">
        <is>
          <t>Har bir kartochkada: rasm, ID bilan nom, reyting va «(N ta sharhlar)», so'mdagi narx, (chegirma bo'lsa) chizilgan eski narx va «-N%» nishoni, savat tugmasi, yurakcha</t>
        </is>
      </c>
      <c r="K31" s="27" t="inlineStr"/>
      <c r="L31" s="29" t="inlineStr">
        <is>
          <t>Ha</t>
        </is>
      </c>
      <c r="M31" s="27" t="inlineStr"/>
      <c r="N31" s="29" t="inlineStr">
        <is>
          <t>Avtomatlashtirilmagan</t>
        </is>
      </c>
      <c r="O31" s="27" t="inlineStr"/>
      <c r="P31" s="29" t="inlineStr">
        <is>
          <t>Bajarilmagan</t>
        </is>
      </c>
      <c r="Q31" s="27" t="inlineStr"/>
    </row>
    <row r="32" ht="34" customHeight="1">
      <c r="A32" s="26" t="inlineStr">
        <is>
          <t>HOME-007</t>
        </is>
      </c>
      <c r="B32" s="27" t="inlineStr">
        <is>
          <t>Bosh sahifa</t>
        </is>
      </c>
      <c r="C32" s="27" t="inlineStr">
        <is>
          <t>Mahsulot kartochkasi</t>
        </is>
      </c>
      <c r="D32" s="28" t="inlineStr">
        <is>
          <t>Chegirma foizining to'g'riligi</t>
        </is>
      </c>
      <c r="E32" s="29" t="inlineStr">
        <is>
          <t>P2</t>
        </is>
      </c>
      <c r="F32" s="29" t="inlineStr">
        <is>
          <t>Functional</t>
        </is>
      </c>
      <c r="G32" s="27" t="inlineStr">
        <is>
          <t>Foydalanuvchi Usta sifatida tizimga kirgan</t>
        </is>
      </c>
      <c r="H32" s="27" t="inlineStr">
        <is>
          <t>1. Chegirmali kartochkani olish
2. (eski − yangi) / eski × 100 ni hisoblash</t>
        </is>
      </c>
      <c r="I32" s="27" t="inlineStr">
        <is>
          <t>Misol: 30 000 → 25 000 = -17%</t>
        </is>
      </c>
      <c r="J32" s="27" t="inlineStr">
        <is>
          <t>Nishon hisobga mos (yaxlitlash bilan)</t>
        </is>
      </c>
      <c r="K32" s="27" t="inlineStr"/>
      <c r="L32" s="29" t="inlineStr">
        <is>
          <t>Ha</t>
        </is>
      </c>
      <c r="M32" s="27" t="inlineStr">
        <is>
          <t>Hisob test kodida</t>
        </is>
      </c>
      <c r="N32" s="29" t="inlineStr">
        <is>
          <t>Avtomatlashtirilmagan</t>
        </is>
      </c>
      <c r="O32" s="27" t="inlineStr"/>
      <c r="P32" s="29" t="inlineStr">
        <is>
          <t>Bajarilmagan</t>
        </is>
      </c>
      <c r="Q32" s="27" t="inlineStr"/>
    </row>
    <row r="33" ht="34" customHeight="1">
      <c r="A33" s="26" t="inlineStr">
        <is>
          <t>HOME-008</t>
        </is>
      </c>
      <c r="B33" s="27" t="inlineStr">
        <is>
          <t>Bosh sahifa</t>
        </is>
      </c>
      <c r="C33" s="27" t="inlineStr">
        <is>
          <t>Mahsulot kartochkasi</t>
        </is>
      </c>
      <c r="D33" s="28" t="inlineStr">
        <is>
          <t>Kartochkani bosish mahsulot sahifasini ochadi</t>
        </is>
      </c>
      <c r="E33" s="29" t="inlineStr">
        <is>
          <t>P1</t>
        </is>
      </c>
      <c r="F33" s="29" t="inlineStr">
        <is>
          <t>Functional</t>
        </is>
      </c>
      <c r="G33" s="27" t="inlineStr">
        <is>
          <t>Foydalanuvchi Usta sifatida tizimga kirgan</t>
        </is>
      </c>
      <c r="H33" s="27" t="inlineStr">
        <is>
          <t>1. Kartochka nomi/rasmini bosish</t>
        </is>
      </c>
      <c r="I33" s="27" t="inlineStr"/>
      <c r="J33" s="27" t="inlineStr">
        <is>
          <t>Xuddi shu pvId va nomli mahsulot sahifasi ochildi</t>
        </is>
      </c>
      <c r="K33" s="27" t="inlineStr"/>
      <c r="L33" s="29" t="inlineStr">
        <is>
          <t>Ha</t>
        </is>
      </c>
      <c r="M33" s="27" t="inlineStr"/>
      <c r="N33" s="29" t="inlineStr">
        <is>
          <t>Avtomatlashtirilmagan</t>
        </is>
      </c>
      <c r="O33" s="27" t="inlineStr"/>
      <c r="P33" s="29" t="inlineStr">
        <is>
          <t>Bajarilmagan</t>
        </is>
      </c>
      <c r="Q33" s="27" t="inlineStr"/>
    </row>
    <row r="34" ht="48" customHeight="1">
      <c r="A34" s="30" t="inlineStr">
        <is>
          <t>CAT-001</t>
        </is>
      </c>
      <c r="B34" s="31" t="inlineStr">
        <is>
          <t>Katalog, kategoriyalar va filtrlar</t>
        </is>
      </c>
      <c r="C34" s="31" t="inlineStr">
        <is>
          <t>Katalog menyusi</t>
        </is>
      </c>
      <c r="D34" s="32" t="inlineStr">
        <is>
          <t>«Katalog» menyusini ochish</t>
        </is>
      </c>
      <c r="E34" s="33" t="inlineStr">
        <is>
          <t>P1</t>
        </is>
      </c>
      <c r="F34" s="33" t="inlineStr">
        <is>
          <t>Smoke</t>
        </is>
      </c>
      <c r="G34" s="31" t="inlineStr">
        <is>
          <t>Foydalanuvchi Usta sifatida tizimga kirgan</t>
        </is>
      </c>
      <c r="H34" s="31" t="inlineStr">
        <is>
          <t>1. Sarlavhadagi «Katalog»ni bosish</t>
        </is>
      </c>
      <c r="I34" s="31" t="inlineStr"/>
      <c r="J34" s="31" t="inlineStr">
        <is>
          <t>Menyu ochildi: chapda kategoriyalar ro'yxati, o'ngda bo'limlar soni ko'rsatilgan kategoriya plitkalari; belgilar ko'rinadi</t>
        </is>
      </c>
      <c r="K34" s="31" t="inlineStr"/>
      <c r="L34" s="33" t="inlineStr">
        <is>
          <t>Ha</t>
        </is>
      </c>
      <c r="M34" s="31" t="inlineStr"/>
      <c r="N34" s="33" t="inlineStr">
        <is>
          <t>Avtomatlashtirilmagan</t>
        </is>
      </c>
      <c r="O34" s="31" t="inlineStr"/>
      <c r="P34" s="33" t="inlineStr">
        <is>
          <t>Bajarilmagan</t>
        </is>
      </c>
      <c r="Q34" s="31" t="inlineStr"/>
    </row>
    <row r="35" ht="48" customHeight="1">
      <c r="A35" s="30" t="inlineStr">
        <is>
          <t>CAT-002</t>
        </is>
      </c>
      <c r="B35" s="31" t="inlineStr">
        <is>
          <t>Katalog, kategoriyalar va filtrlar</t>
        </is>
      </c>
      <c r="C35" s="31" t="inlineStr">
        <is>
          <t>Katalog menyusi</t>
        </is>
      </c>
      <c r="D35" s="32" t="inlineStr">
        <is>
          <t>Ichki kategoriyalar bo'yicha navigatsiya</t>
        </is>
      </c>
      <c r="E35" s="33" t="inlineStr">
        <is>
          <t>P2</t>
        </is>
      </c>
      <c r="F35" s="33" t="inlineStr">
        <is>
          <t>Functional</t>
        </is>
      </c>
      <c r="G35" s="31" t="inlineStr">
        <is>
          <t>Foydalanuvchi Usta sifatida tizimga kirgan</t>
        </is>
      </c>
      <c r="H35" s="31" t="inlineStr">
        <is>
          <t>1. «Katalog»ni ochish
2. Chapdagi kategoriyaga sichqonchani olib borish/bosish (masalan, «Telefon ehtiyot qismlari»)</t>
        </is>
      </c>
      <c r="I35" s="31" t="inlineStr"/>
      <c r="J35" s="31" t="inlineStr">
        <is>
          <t>Tanlangan kategoriyaning ichki kategoriyalari ko'rinadi</t>
        </is>
      </c>
      <c r="K35" s="31" t="inlineStr"/>
      <c r="L35" s="33" t="inlineStr">
        <is>
          <t>Ha</t>
        </is>
      </c>
      <c r="M35" s="31" t="inlineStr"/>
      <c r="N35" s="33" t="inlineStr">
        <is>
          <t>Avtomatlashtirilmagan</t>
        </is>
      </c>
      <c r="O35" s="31" t="inlineStr"/>
      <c r="P35" s="33" t="inlineStr">
        <is>
          <t>Bajarilmagan</t>
        </is>
      </c>
      <c r="Q35" s="31" t="inlineStr"/>
    </row>
    <row r="36" ht="48" customHeight="1">
      <c r="A36" s="30" t="inlineStr">
        <is>
          <t>CAT-003</t>
        </is>
      </c>
      <c r="B36" s="31" t="inlineStr">
        <is>
          <t>Katalog, kategoriyalar va filtrlar</t>
        </is>
      </c>
      <c r="C36" s="31" t="inlineStr">
        <is>
          <t>Kategoriya sahifasi</t>
        </is>
      </c>
      <c r="D36" s="32" t="inlineStr">
        <is>
          <t>Kategoriyaga o'tish</t>
        </is>
      </c>
      <c r="E36" s="33" t="inlineStr">
        <is>
          <t>P1</t>
        </is>
      </c>
      <c r="F36" s="33" t="inlineStr">
        <is>
          <t>Smoke</t>
        </is>
      </c>
      <c r="G36" s="31" t="inlineStr">
        <is>
          <t>Foydalanuvchi Usta sifatida tizimga kirgan</t>
        </is>
      </c>
      <c r="H36" s="31" t="inlineStr">
        <is>
          <t>1. «Katalog»ni ochish
2. «Telefon ehtiyot qismlari»ni tanlash</t>
        </is>
      </c>
      <c r="I36" s="31" t="inlineStr"/>
      <c r="J36" s="31" t="inlineStr">
        <is>
          <t>/uz/filter?categories=45 ochildi: kategoriya sarlavhasi, «non bo'laklari», filtrlar, faqat shu kategoriya mahsulotlari</t>
        </is>
      </c>
      <c r="K36" s="31" t="inlineStr"/>
      <c r="L36" s="33" t="inlineStr">
        <is>
          <t>Ha</t>
        </is>
      </c>
      <c r="M36" s="31" t="inlineStr"/>
      <c r="N36" s="33" t="inlineStr">
        <is>
          <t>Avtomatlashtirilmagan</t>
        </is>
      </c>
      <c r="O36" s="31" t="inlineStr"/>
      <c r="P36" s="33" t="inlineStr">
        <is>
          <t>Bajarilmagan</t>
        </is>
      </c>
      <c r="Q36" s="31" t="inlineStr"/>
    </row>
    <row r="37" ht="62" customHeight="1">
      <c r="A37" s="30" t="inlineStr">
        <is>
          <t>CAT-004</t>
        </is>
      </c>
      <c r="B37" s="31" t="inlineStr">
        <is>
          <t>Katalog, kategoriyalar va filtrlar</t>
        </is>
      </c>
      <c r="C37" s="31" t="inlineStr">
        <is>
          <t>Filtrlar</t>
        </is>
      </c>
      <c r="D37" s="32" t="inlineStr">
        <is>
          <t>Narx bo'yicha filtr (qiymat kiritish)</t>
        </is>
      </c>
      <c r="E37" s="33" t="inlineStr">
        <is>
          <t>P1</t>
        </is>
      </c>
      <c r="F37" s="33" t="inlineStr">
        <is>
          <t>Functional</t>
        </is>
      </c>
      <c r="G37" s="31" t="inlineStr">
        <is>
          <t>Foydalanuvchi Usta sifatida tizimga kirgan</t>
        </is>
      </c>
      <c r="H37" s="31" t="inlineStr">
        <is>
          <t>1. Kategoriyani ochish
2. «Narx (so'm)» filtrida «dan» va «gacha»ni kiritish
3. «Ko'rish»ni bosish</t>
        </is>
      </c>
      <c r="I37" s="31" t="inlineStr">
        <is>
          <t>5 000 dan 10 000 gacha</t>
        </is>
      </c>
      <c r="J37" s="31" t="inlineStr">
        <is>
          <t>Natijadagi barcha mahsulotlar narxi berilgan oraliqda</t>
        </is>
      </c>
      <c r="K37" s="31" t="inlineStr"/>
      <c r="L37" s="33" t="inlineStr">
        <is>
          <t>Ha</t>
        </is>
      </c>
      <c r="M37" s="31" t="inlineStr"/>
      <c r="N37" s="33" t="inlineStr">
        <is>
          <t>Avtomatlashtirilmagan</t>
        </is>
      </c>
      <c r="O37" s="31" t="inlineStr"/>
      <c r="P37" s="33" t="inlineStr">
        <is>
          <t>Bajarilmagan</t>
        </is>
      </c>
      <c r="Q37" s="31" t="inlineStr"/>
    </row>
    <row r="38" ht="48" customHeight="1">
      <c r="A38" s="30" t="inlineStr">
        <is>
          <t>CAT-005</t>
        </is>
      </c>
      <c r="B38" s="31" t="inlineStr">
        <is>
          <t>Katalog, kategoriyalar va filtrlar</t>
        </is>
      </c>
      <c r="C38" s="31" t="inlineStr">
        <is>
          <t>Filtrlar</t>
        </is>
      </c>
      <c r="D38" s="32" t="inlineStr">
        <is>
          <t>Narx bo'yicha filtr (polzunok)</t>
        </is>
      </c>
      <c r="E38" s="33" t="inlineStr">
        <is>
          <t>P2</t>
        </is>
      </c>
      <c r="F38" s="33" t="inlineStr">
        <is>
          <t>Functional</t>
        </is>
      </c>
      <c r="G38" s="31" t="inlineStr">
        <is>
          <t>Foydalanuvchi Usta sifatida tizimga kirgan</t>
        </is>
      </c>
      <c r="H38" s="31" t="inlineStr">
        <is>
          <t>1. Narxning chap va o'ng polzunoklarini surish</t>
        </is>
      </c>
      <c r="I38" s="31" t="inlineStr"/>
      <c r="J38" s="31" t="inlineStr">
        <is>
          <t>Maydonlardagi qiymatlar polzunok bilan sinxron, natija yangilanadi</t>
        </is>
      </c>
      <c r="K38" s="31" t="inlineStr"/>
      <c r="L38" s="33" t="inlineStr">
        <is>
          <t>Qisman</t>
        </is>
      </c>
      <c r="M38" s="31" t="inlineStr">
        <is>
          <t>Polzunokni drag-and-drop qilish beqaror; maydonlar orqali tekshirgan ma'qul</t>
        </is>
      </c>
      <c r="N38" s="33" t="inlineStr">
        <is>
          <t>Avtomatlashtirilmagan</t>
        </is>
      </c>
      <c r="O38" s="31" t="inlineStr"/>
      <c r="P38" s="33" t="inlineStr">
        <is>
          <t>Bajarilmagan</t>
        </is>
      </c>
      <c r="Q38" s="31" t="inlineStr"/>
    </row>
    <row r="39" ht="34" customHeight="1">
      <c r="A39" s="30" t="inlineStr">
        <is>
          <t>CAT-006</t>
        </is>
      </c>
      <c r="B39" s="31" t="inlineStr">
        <is>
          <t>Katalog, kategoriyalar va filtrlar</t>
        </is>
      </c>
      <c r="C39" s="31" t="inlineStr">
        <is>
          <t>Filtrlar</t>
        </is>
      </c>
      <c r="D39" s="32" t="inlineStr">
        <is>
          <t>«dan» narxi «gacha» narxidan katta</t>
        </is>
      </c>
      <c r="E39" s="33" t="inlineStr">
        <is>
          <t>P3</t>
        </is>
      </c>
      <c r="F39" s="33" t="inlineStr">
        <is>
          <t>Negative</t>
        </is>
      </c>
      <c r="G39" s="31" t="inlineStr">
        <is>
          <t>Foydalanuvchi Usta sifatida tizimga kirgan</t>
        </is>
      </c>
      <c r="H39" s="31" t="inlineStr">
        <is>
          <t>1. «dan» = 100 000, «gacha» = 1 000 kiritish</t>
        </is>
      </c>
      <c r="I39" s="31" t="inlineStr"/>
      <c r="J39" s="31" t="inlineStr">
        <is>
          <t>Qiymatlar avtomatik to'g'rilanadi yoki xato chiqadi; sahifa buzilmaydi</t>
        </is>
      </c>
      <c r="K39" s="31" t="inlineStr"/>
      <c r="L39" s="33" t="inlineStr">
        <is>
          <t>Ha</t>
        </is>
      </c>
      <c r="M39" s="31" t="inlineStr"/>
      <c r="N39" s="33" t="inlineStr">
        <is>
          <t>Avtomatlashtirilmagan</t>
        </is>
      </c>
      <c r="O39" s="31" t="inlineStr"/>
      <c r="P39" s="33" t="inlineStr">
        <is>
          <t>Bajarilmagan</t>
        </is>
      </c>
      <c r="Q39" s="31" t="inlineStr"/>
    </row>
    <row r="40" ht="34" customHeight="1">
      <c r="A40" s="30" t="inlineStr">
        <is>
          <t>CAT-007</t>
        </is>
      </c>
      <c r="B40" s="31" t="inlineStr">
        <is>
          <t>Katalog, kategoriyalar va filtrlar</t>
        </is>
      </c>
      <c r="C40" s="31" t="inlineStr">
        <is>
          <t>Filtrlar</t>
        </is>
      </c>
      <c r="D40" s="32" t="inlineStr">
        <is>
          <t>«Mavjudlari ko'rinsin» tumbleri</t>
        </is>
      </c>
      <c r="E40" s="33" t="inlineStr">
        <is>
          <t>P1</t>
        </is>
      </c>
      <c r="F40" s="33" t="inlineStr">
        <is>
          <t>Functional</t>
        </is>
      </c>
      <c r="G40" s="31" t="inlineStr">
        <is>
          <t>Foydalanuvchi Usta sifatida tizimga kirgan</t>
        </is>
      </c>
      <c r="H40" s="31" t="inlineStr">
        <is>
          <t>1. Kategoriyani ochish
2. «Mavjudlari ko'rinsin»ni yoqish</t>
        </is>
      </c>
      <c r="I40" s="31" t="inlineStr"/>
      <c r="J40" s="31" t="inlineStr">
        <is>
          <t>Natijada «Sotuvda yo'q» belgili kartochkalar yo'q; o'chirilganda ular yana ko'rinadi</t>
        </is>
      </c>
      <c r="K40" s="31" t="inlineStr"/>
      <c r="L40" s="33" t="inlineStr">
        <is>
          <t>Ha</t>
        </is>
      </c>
      <c r="M40" s="31" t="inlineStr"/>
      <c r="N40" s="33" t="inlineStr">
        <is>
          <t>Avtomatlashtirilmagan</t>
        </is>
      </c>
      <c r="O40" s="31" t="inlineStr"/>
      <c r="P40" s="33" t="inlineStr">
        <is>
          <t>Bajarilmagan</t>
        </is>
      </c>
      <c r="Q40" s="31" t="inlineStr"/>
    </row>
    <row r="41" ht="34" customHeight="1">
      <c r="A41" s="30" t="inlineStr">
        <is>
          <t>CAT-008</t>
        </is>
      </c>
      <c r="B41" s="31" t="inlineStr">
        <is>
          <t>Katalog, kategoriyalar va filtrlar</t>
        </is>
      </c>
      <c r="C41" s="31" t="inlineStr">
        <is>
          <t>Filtrlar</t>
        </is>
      </c>
      <c r="D41" s="32" t="inlineStr">
        <is>
          <t>«Filtrni tozalash»</t>
        </is>
      </c>
      <c r="E41" s="33" t="inlineStr">
        <is>
          <t>P2</t>
        </is>
      </c>
      <c r="F41" s="33" t="inlineStr">
        <is>
          <t>Functional</t>
        </is>
      </c>
      <c r="G41" s="31" t="inlineStr">
        <is>
          <t>Foydalanuvchi Usta sifatida tizimga kirgan</t>
        </is>
      </c>
      <c r="H41" s="31" t="inlineStr">
        <is>
          <t>1. Narx filtri va «Mavjudlari ko'rinsin»ni qo'llash
2. «Filtrni tozalash»ni bosish</t>
        </is>
      </c>
      <c r="I41" s="31" t="inlineStr"/>
      <c r="J41" s="31" t="inlineStr">
        <is>
          <t>Barcha filtrlar tozalandi, natija dastlabki holatga qaytdi</t>
        </is>
      </c>
      <c r="K41" s="31" t="inlineStr"/>
      <c r="L41" s="33" t="inlineStr">
        <is>
          <t>Ha</t>
        </is>
      </c>
      <c r="M41" s="31" t="inlineStr"/>
      <c r="N41" s="33" t="inlineStr">
        <is>
          <t>Avtomatlashtirilmagan</t>
        </is>
      </c>
      <c r="O41" s="31" t="inlineStr"/>
      <c r="P41" s="33" t="inlineStr">
        <is>
          <t>Bajarilmagan</t>
        </is>
      </c>
      <c r="Q41" s="31" t="inlineStr"/>
    </row>
    <row r="42" ht="34" customHeight="1">
      <c r="A42" s="30" t="inlineStr">
        <is>
          <t>CAT-009</t>
        </is>
      </c>
      <c r="B42" s="31" t="inlineStr">
        <is>
          <t>Katalog, kategoriyalar va filtrlar</t>
        </is>
      </c>
      <c r="C42" s="31" t="inlineStr">
        <is>
          <t>Saralash</t>
        </is>
      </c>
      <c r="D42" s="32" t="inlineStr">
        <is>
          <t>«Arzonlaridan boshlab» saralash</t>
        </is>
      </c>
      <c r="E42" s="33" t="inlineStr">
        <is>
          <t>P2</t>
        </is>
      </c>
      <c r="F42" s="33" t="inlineStr">
        <is>
          <t>Functional</t>
        </is>
      </c>
      <c r="G42" s="31" t="inlineStr">
        <is>
          <t>Foydalanuvchi Usta sifatida tizimga kirgan</t>
        </is>
      </c>
      <c r="H42" s="31" t="inlineStr">
        <is>
          <t>1. Kategoriyani ochish
2. «Saralash»da «Arzonlaridan boshlab»ni tanlash</t>
        </is>
      </c>
      <c r="I42" s="31" t="inlineStr"/>
      <c r="J42" s="31" t="inlineStr">
        <is>
          <t>Natijadagi narxlar o'sish tartibida</t>
        </is>
      </c>
      <c r="K42" s="31" t="inlineStr"/>
      <c r="L42" s="33" t="inlineStr">
        <is>
          <t>Ha</t>
        </is>
      </c>
      <c r="M42" s="31" t="inlineStr"/>
      <c r="N42" s="33" t="inlineStr">
        <is>
          <t>Avtomatlashtirilmagan</t>
        </is>
      </c>
      <c r="O42" s="31" t="inlineStr"/>
      <c r="P42" s="33" t="inlineStr">
        <is>
          <t>Bajarilmagan</t>
        </is>
      </c>
      <c r="Q42" s="31" t="inlineStr"/>
    </row>
    <row r="43" ht="34" customHeight="1">
      <c r="A43" s="30" t="inlineStr">
        <is>
          <t>CAT-010</t>
        </is>
      </c>
      <c r="B43" s="31" t="inlineStr">
        <is>
          <t>Katalog, kategoriyalar va filtrlar</t>
        </is>
      </c>
      <c r="C43" s="31" t="inlineStr">
        <is>
          <t>Saralash</t>
        </is>
      </c>
      <c r="D43" s="32" t="inlineStr">
        <is>
          <t>«Qimmatlaridan boshlab» saralash</t>
        </is>
      </c>
      <c r="E43" s="33" t="inlineStr">
        <is>
          <t>P2</t>
        </is>
      </c>
      <c r="F43" s="33" t="inlineStr">
        <is>
          <t>Functional</t>
        </is>
      </c>
      <c r="G43" s="31" t="inlineStr">
        <is>
          <t>Foydalanuvchi Usta sifatida tizimga kirgan</t>
        </is>
      </c>
      <c r="H43" s="31" t="inlineStr">
        <is>
          <t>1. «Qimmatlaridan boshlab»ni tanlash</t>
        </is>
      </c>
      <c r="I43" s="31" t="inlineStr"/>
      <c r="J43" s="31" t="inlineStr">
        <is>
          <t>Natijadagi narxlar kamayish tartibida</t>
        </is>
      </c>
      <c r="K43" s="31" t="inlineStr"/>
      <c r="L43" s="33" t="inlineStr">
        <is>
          <t>Ha</t>
        </is>
      </c>
      <c r="M43" s="31" t="inlineStr"/>
      <c r="N43" s="33" t="inlineStr">
        <is>
          <t>Avtomatlashtirilmagan</t>
        </is>
      </c>
      <c r="O43" s="31" t="inlineStr"/>
      <c r="P43" s="33" t="inlineStr">
        <is>
          <t>Bajarilmagan</t>
        </is>
      </c>
      <c r="Q43" s="31" t="inlineStr"/>
    </row>
    <row r="44" ht="34" customHeight="1">
      <c r="A44" s="30" t="inlineStr">
        <is>
          <t>CAT-011</t>
        </is>
      </c>
      <c r="B44" s="31" t="inlineStr">
        <is>
          <t>Katalog, kategoriyalar va filtrlar</t>
        </is>
      </c>
      <c r="C44" s="31" t="inlineStr">
        <is>
          <t>Saralash</t>
        </is>
      </c>
      <c r="D44" s="32" t="inlineStr">
        <is>
          <t>«Yangilaridan boshlab» / «Eskilaridan boshlab» saralash</t>
        </is>
      </c>
      <c r="E44" s="33" t="inlineStr">
        <is>
          <t>P3</t>
        </is>
      </c>
      <c r="F44" s="33" t="inlineStr">
        <is>
          <t>Functional</t>
        </is>
      </c>
      <c r="G44" s="31" t="inlineStr">
        <is>
          <t>Foydalanuvchi Usta sifatida tizimga kirgan</t>
        </is>
      </c>
      <c r="H44" s="31" t="inlineStr">
        <is>
          <t>1. «Yangilaridan boshlab»ni tanlash
2. «Eskilaridan boshlab»ni tanlash</t>
        </is>
      </c>
      <c r="I44" s="31" t="inlineStr"/>
      <c r="J44" s="31" t="inlineStr">
        <is>
          <t>Mahsulotlar tartibi o'zgaradi (mahsulot ID lari kamayish / o'sish tartibida)</t>
        </is>
      </c>
      <c r="K44" s="31" t="inlineStr"/>
      <c r="L44" s="33" t="inlineStr">
        <is>
          <t>Qisman</t>
        </is>
      </c>
      <c r="M44" s="31" t="inlineStr">
        <is>
          <t>UI da yaratilgan sana yo'q — tekshiruv ID bo'yicha bilvosita</t>
        </is>
      </c>
      <c r="N44" s="33" t="inlineStr">
        <is>
          <t>Avtomatlashtirilmagan</t>
        </is>
      </c>
      <c r="O44" s="31" t="inlineStr"/>
      <c r="P44" s="33" t="inlineStr">
        <is>
          <t>Bajarilmagan</t>
        </is>
      </c>
      <c r="Q44" s="31" t="inlineStr"/>
    </row>
    <row r="45" ht="34" customHeight="1">
      <c r="A45" s="30" t="inlineStr">
        <is>
          <t>CAT-012</t>
        </is>
      </c>
      <c r="B45" s="31" t="inlineStr">
        <is>
          <t>Katalog, kategoriyalar va filtrlar</t>
        </is>
      </c>
      <c r="C45" s="31" t="inlineStr">
        <is>
          <t>Natija</t>
        </is>
      </c>
      <c r="D45" s="32" t="inlineStr">
        <is>
          <t>Aylantirilganda mahsulotlar yuklanishi</t>
        </is>
      </c>
      <c r="E45" s="33" t="inlineStr">
        <is>
          <t>P2</t>
        </is>
      </c>
      <c r="F45" s="33" t="inlineStr">
        <is>
          <t>Functional</t>
        </is>
      </c>
      <c r="G45" s="31" t="inlineStr">
        <is>
          <t>Foydalanuvchi Usta sifatida tizimga kirgan</t>
        </is>
      </c>
      <c r="H45" s="31" t="inlineStr">
        <is>
          <t>1. Mahsulotlari ko'p kategoriyani ochish
2. Sahifa oxirigacha aylantirish</t>
        </is>
      </c>
      <c r="I45" s="31" t="inlineStr"/>
      <c r="J45" s="31" t="inlineStr">
        <is>
          <t>Keyingi mahsulotlar portsiyasi yuklanadi, takrorlar yo'q</t>
        </is>
      </c>
      <c r="K45" s="31" t="inlineStr"/>
      <c r="L45" s="33" t="inlineStr">
        <is>
          <t>Ha</t>
        </is>
      </c>
      <c r="M45" s="31" t="inlineStr"/>
      <c r="N45" s="33" t="inlineStr">
        <is>
          <t>Avtomatlashtirilmagan</t>
        </is>
      </c>
      <c r="O45" s="31" t="inlineStr"/>
      <c r="P45" s="33" t="inlineStr">
        <is>
          <t>Bajarilmagan</t>
        </is>
      </c>
      <c r="Q45" s="31" t="inlineStr"/>
    </row>
    <row r="46" ht="34" customHeight="1">
      <c r="A46" s="30" t="inlineStr">
        <is>
          <t>CAT-013</t>
        </is>
      </c>
      <c r="B46" s="31" t="inlineStr">
        <is>
          <t>Katalog, kategoriyalar va filtrlar</t>
        </is>
      </c>
      <c r="C46" s="31" t="inlineStr">
        <is>
          <t>Natija</t>
        </is>
      </c>
      <c r="D46" s="32" t="inlineStr">
        <is>
          <t>Ro'yxatdagi «Sotuvda yo'q» mahsulot</t>
        </is>
      </c>
      <c r="E46" s="33" t="inlineStr">
        <is>
          <t>P1</t>
        </is>
      </c>
      <c r="F46" s="33" t="inlineStr">
        <is>
          <t>Functional</t>
        </is>
      </c>
      <c r="G46" s="31" t="inlineStr">
        <is>
          <t>Foydalanuvchi Usta sifatida tizimga kirgan</t>
        </is>
      </c>
      <c r="H46" s="31" t="inlineStr">
        <is>
          <t>1. «Sotuvda yo'q» belgili kartochkani topish</t>
        </is>
      </c>
      <c r="I46" s="31" t="inlineStr"/>
      <c r="J46" s="31" t="inlineStr">
        <is>
          <t>Savatga qo'shish tugmasi faol emas (kulrang), mahsulotni qo'shib bo'lmaydi</t>
        </is>
      </c>
      <c r="K46" s="31" t="inlineStr"/>
      <c r="L46" s="33" t="inlineStr">
        <is>
          <t>Ha</t>
        </is>
      </c>
      <c r="M46" s="31" t="inlineStr"/>
      <c r="N46" s="33" t="inlineStr">
        <is>
          <t>Avtomatlashtirilmagan</t>
        </is>
      </c>
      <c r="O46" s="31" t="inlineStr"/>
      <c r="P46" s="33" t="inlineStr">
        <is>
          <t>Bajarilmagan</t>
        </is>
      </c>
      <c r="Q46" s="31" t="inlineStr"/>
    </row>
    <row r="47" ht="34" customHeight="1">
      <c r="A47" s="30" t="inlineStr">
        <is>
          <t>CAT-014</t>
        </is>
      </c>
      <c r="B47" s="31" t="inlineStr">
        <is>
          <t>Katalog, kategoriyalar va filtrlar</t>
        </is>
      </c>
      <c r="C47" s="31" t="inlineStr">
        <is>
          <t>Natija</t>
        </is>
      </c>
      <c r="D47" s="32" t="inlineStr">
        <is>
          <t>Mahsulotni tezkor ko'rish</t>
        </is>
      </c>
      <c r="E47" s="33" t="inlineStr">
        <is>
          <t>P3</t>
        </is>
      </c>
      <c r="F47" s="33" t="inlineStr">
        <is>
          <t>Functional</t>
        </is>
      </c>
      <c r="G47" s="31" t="inlineStr">
        <is>
          <t>Foydalanuvchi Usta sifatida tizimga kirgan</t>
        </is>
      </c>
      <c r="H47" s="31" t="inlineStr">
        <is>
          <t>1. Kartochkaga sichqonchani olib borish
2. «Tezkor ko'rish»ni bosish</t>
        </is>
      </c>
      <c r="I47" s="31" t="inlineStr"/>
      <c r="J47" s="31" t="inlineStr">
        <is>
          <t>Mahsulot haqidagi asosiy ma'lumot bilan oyna ochildi, uni yopish mumkin</t>
        </is>
      </c>
      <c r="K47" s="31" t="inlineStr"/>
      <c r="L47" s="33" t="inlineStr">
        <is>
          <t>Ha</t>
        </is>
      </c>
      <c r="M47" s="31" t="inlineStr"/>
      <c r="N47" s="33" t="inlineStr">
        <is>
          <t>Avtomatlashtirilmagan</t>
        </is>
      </c>
      <c r="O47" s="31" t="inlineStr"/>
      <c r="P47" s="33" t="inlineStr">
        <is>
          <t>Bajarilmagan</t>
        </is>
      </c>
      <c r="Q47" s="31" t="inlineStr"/>
    </row>
    <row r="48" ht="34" customHeight="1">
      <c r="A48" s="30" t="inlineStr">
        <is>
          <t>CAT-015</t>
        </is>
      </c>
      <c r="B48" s="31" t="inlineStr">
        <is>
          <t>Katalog, kategoriyalar va filtrlar</t>
        </is>
      </c>
      <c r="C48" s="31" t="inlineStr">
        <is>
          <t>Natija</t>
        </is>
      </c>
      <c r="D48" s="32" t="inlineStr">
        <is>
          <t>Filtr va saralash sahifa yangilanganda saqlanadi</t>
        </is>
      </c>
      <c r="E48" s="33" t="inlineStr">
        <is>
          <t>P3</t>
        </is>
      </c>
      <c r="F48" s="33" t="inlineStr">
        <is>
          <t>Functional</t>
        </is>
      </c>
      <c r="G48" s="31" t="inlineStr">
        <is>
          <t>Foydalanuvchi Usta sifatida tizimga kirgan</t>
        </is>
      </c>
      <c r="H48" s="31" t="inlineStr">
        <is>
          <t>1. Filtr va saralashni qo'llash
2. Sahifani yangilash</t>
        </is>
      </c>
      <c r="I48" s="31" t="inlineStr"/>
      <c r="J48" s="31" t="inlineStr">
        <is>
          <t>Parametrlar URL da aks etgan va yangilangandan keyin tiklangan</t>
        </is>
      </c>
      <c r="K48" s="31" t="inlineStr"/>
      <c r="L48" s="33" t="inlineStr">
        <is>
          <t>Ha</t>
        </is>
      </c>
      <c r="M48" s="31" t="inlineStr"/>
      <c r="N48" s="33" t="inlineStr">
        <is>
          <t>Avtomatlashtirilmagan</t>
        </is>
      </c>
      <c r="O48" s="31" t="inlineStr"/>
      <c r="P48" s="33" t="inlineStr">
        <is>
          <t>Bajarilmagan</t>
        </is>
      </c>
      <c r="Q48" s="31" t="inlineStr"/>
    </row>
    <row r="49" ht="34" customHeight="1">
      <c r="A49" s="30" t="inlineStr">
        <is>
          <t>CAT-016</t>
        </is>
      </c>
      <c r="B49" s="31" t="inlineStr">
        <is>
          <t>Katalog, kategoriyalar va filtrlar</t>
        </is>
      </c>
      <c r="C49" s="31" t="inlineStr">
        <is>
          <t>Natija</t>
        </is>
      </c>
      <c r="D49" s="32" t="inlineStr">
        <is>
          <t>Filtr bo'yicha bo'sh natija</t>
        </is>
      </c>
      <c r="E49" s="33" t="inlineStr">
        <is>
          <t>P3</t>
        </is>
      </c>
      <c r="F49" s="33" t="inlineStr">
        <is>
          <t>Functional</t>
        </is>
      </c>
      <c r="G49" s="31" t="inlineStr">
        <is>
          <t>Foydalanuvchi Usta sifatida tizimga kirgan</t>
        </is>
      </c>
      <c r="H49" s="31" t="inlineStr">
        <is>
          <t>1. Mahsulot yo'q narx filtrini berish</t>
        </is>
      </c>
      <c r="I49" s="31" t="inlineStr"/>
      <c r="J49" s="31" t="inlineStr">
        <is>
          <t>Mahsulot yo'qligi haqida tushunarli xabar va filtrni tozalash tugmasi ko'rsatiladi</t>
        </is>
      </c>
      <c r="K49" s="31" t="inlineStr"/>
      <c r="L49" s="33" t="inlineStr">
        <is>
          <t>Ha</t>
        </is>
      </c>
      <c r="M49" s="31" t="inlineStr"/>
      <c r="N49" s="33" t="inlineStr">
        <is>
          <t>Avtomatlashtirilmagan</t>
        </is>
      </c>
      <c r="O49" s="31" t="inlineStr"/>
      <c r="P49" s="33" t="inlineStr">
        <is>
          <t>Bajarilmagan</t>
        </is>
      </c>
      <c r="Q49" s="31" t="inlineStr"/>
    </row>
    <row r="50" ht="34" customHeight="1">
      <c r="A50" s="30" t="inlineStr">
        <is>
          <t>CAT-017</t>
        </is>
      </c>
      <c r="B50" s="31" t="inlineStr">
        <is>
          <t>Katalog, kategoriyalar va filtrlar</t>
        </is>
      </c>
      <c r="C50" s="31" t="inlineStr">
        <is>
          <t>Navigatsiya</t>
        </is>
      </c>
      <c r="D50" s="32" t="inlineStr">
        <is>
          <t>Kategoriyadagi «non bo'laklari»</t>
        </is>
      </c>
      <c r="E50" s="33" t="inlineStr">
        <is>
          <t>P3</t>
        </is>
      </c>
      <c r="F50" s="33" t="inlineStr">
        <is>
          <t>UI</t>
        </is>
      </c>
      <c r="G50" s="31" t="inlineStr">
        <is>
          <t>Foydalanuvchi Usta sifatida tizimga kirgan</t>
        </is>
      </c>
      <c r="H50" s="31" t="inlineStr">
        <is>
          <t>1. 3-darajali ichki kategoriyaga o'tish
2. «Non bo'laklari»dagi ota kategoriyani bosish</t>
        </is>
      </c>
      <c r="I50" s="31" t="inlineStr"/>
      <c r="J50" s="31" t="inlineStr">
        <is>
          <t>Ota kategoriya ochildi</t>
        </is>
      </c>
      <c r="K50" s="31" t="inlineStr"/>
      <c r="L50" s="33" t="inlineStr">
        <is>
          <t>Ha</t>
        </is>
      </c>
      <c r="M50" s="31" t="inlineStr"/>
      <c r="N50" s="33" t="inlineStr">
        <is>
          <t>Avtomatlashtirilmagan</t>
        </is>
      </c>
      <c r="O50" s="31" t="inlineStr"/>
      <c r="P50" s="33" t="inlineStr">
        <is>
          <t>Bajarilmagan</t>
        </is>
      </c>
      <c r="Q50" s="31" t="inlineStr"/>
    </row>
    <row r="51" ht="34" customHeight="1">
      <c r="A51" s="26" t="inlineStr">
        <is>
          <t>MDL-001</t>
        </is>
      </c>
      <c r="B51" s="27" t="inlineStr">
        <is>
          <t>Qurilma modeli bo'yicha tanlash</t>
        </is>
      </c>
      <c r="C51" s="27" t="inlineStr">
        <is>
          <t>Brend</t>
        </is>
      </c>
      <c r="D51" s="28" t="inlineStr">
        <is>
          <t>«Brendni tanlang» oynasini ochish</t>
        </is>
      </c>
      <c r="E51" s="29" t="inlineStr">
        <is>
          <t>P2</t>
        </is>
      </c>
      <c r="F51" s="29" t="inlineStr">
        <is>
          <t>Functional</t>
        </is>
      </c>
      <c r="G51" s="27" t="inlineStr">
        <is>
          <t>Foydalanuvchi Usta sifatida tizimga kirgan</t>
        </is>
      </c>
      <c r="H51" s="27" t="inlineStr">
        <is>
          <t>1. Sarlavhadagi «Model»ni bosish</t>
        </is>
      </c>
      <c r="I51" s="27" t="inlineStr"/>
      <c r="J51" s="27" t="inlineStr">
        <is>
          <t>Brendlar ro'yxati (Samsung, Xiaomi, Apple…) va qidiruv maydoni bilan oyna ochildi</t>
        </is>
      </c>
      <c r="K51" s="27" t="inlineStr"/>
      <c r="L51" s="29" t="inlineStr">
        <is>
          <t>Ha</t>
        </is>
      </c>
      <c r="M51" s="27" t="inlineStr"/>
      <c r="N51" s="29" t="inlineStr">
        <is>
          <t>Avtomatlashtirilmagan</t>
        </is>
      </c>
      <c r="O51" s="27" t="inlineStr"/>
      <c r="P51" s="29" t="inlineStr">
        <is>
          <t>Bajarilmagan</t>
        </is>
      </c>
      <c r="Q51" s="27" t="inlineStr"/>
    </row>
    <row r="52" ht="34" customHeight="1">
      <c r="A52" s="26" t="inlineStr">
        <is>
          <t>MDL-002</t>
        </is>
      </c>
      <c r="B52" s="27" t="inlineStr">
        <is>
          <t>Qurilma modeli bo'yicha tanlash</t>
        </is>
      </c>
      <c r="C52" s="27" t="inlineStr">
        <is>
          <t>Brend</t>
        </is>
      </c>
      <c r="D52" s="28" t="inlineStr">
        <is>
          <t>Brendni qidirish</t>
        </is>
      </c>
      <c r="E52" s="29" t="inlineStr">
        <is>
          <t>P3</t>
        </is>
      </c>
      <c r="F52" s="29" t="inlineStr">
        <is>
          <t>Functional</t>
        </is>
      </c>
      <c r="G52" s="27" t="inlineStr">
        <is>
          <t>Foydalanuvchi Usta sifatida tizimga kirgan</t>
        </is>
      </c>
      <c r="H52" s="27" t="inlineStr">
        <is>
          <t>1. «Model» oynasini ochish
2. «Xiao» deb yozish</t>
        </is>
      </c>
      <c r="I52" s="27" t="inlineStr"/>
      <c r="J52" s="27" t="inlineStr">
        <is>
          <t>Ro'yxat filtrlandi, Xiaomi ko'rinadi</t>
        </is>
      </c>
      <c r="K52" s="27" t="inlineStr"/>
      <c r="L52" s="29" t="inlineStr">
        <is>
          <t>Ha</t>
        </is>
      </c>
      <c r="M52" s="27" t="inlineStr"/>
      <c r="N52" s="29" t="inlineStr">
        <is>
          <t>Avtomatlashtirilmagan</t>
        </is>
      </c>
      <c r="O52" s="27" t="inlineStr"/>
      <c r="P52" s="29" t="inlineStr">
        <is>
          <t>Bajarilmagan</t>
        </is>
      </c>
      <c r="Q52" s="27" t="inlineStr"/>
    </row>
    <row r="53" ht="34" customHeight="1">
      <c r="A53" s="26" t="inlineStr">
        <is>
          <t>MDL-003</t>
        </is>
      </c>
      <c r="B53" s="27" t="inlineStr">
        <is>
          <t>Qurilma modeli bo'yicha tanlash</t>
        </is>
      </c>
      <c r="C53" s="27" t="inlineStr">
        <is>
          <t>Model</t>
        </is>
      </c>
      <c r="D53" s="28" t="inlineStr">
        <is>
          <t>Brendni tanlash va modelni qidirish</t>
        </is>
      </c>
      <c r="E53" s="29" t="inlineStr">
        <is>
          <t>P2</t>
        </is>
      </c>
      <c r="F53" s="29" t="inlineStr">
        <is>
          <t>Functional</t>
        </is>
      </c>
      <c r="G53" s="27" t="inlineStr">
        <is>
          <t>Foydalanuvchi Usta sifatida tizimga kirgan</t>
        </is>
      </c>
      <c r="H53" s="27" t="inlineStr">
        <is>
          <t>1. Samsung ni tanlash
2. Qidiruvga «A52» deb yozish</t>
        </is>
      </c>
      <c r="I53" s="27" t="inlineStr"/>
      <c r="J53" s="27" t="inlineStr">
        <is>
          <t>Samsung modellari ro'yxati ochildi; qidiruv Galaxy A52 (A525) ni topadi</t>
        </is>
      </c>
      <c r="K53" s="27" t="inlineStr"/>
      <c r="L53" s="29" t="inlineStr">
        <is>
          <t>Ha</t>
        </is>
      </c>
      <c r="M53" s="27" t="inlineStr"/>
      <c r="N53" s="29" t="inlineStr">
        <is>
          <t>Avtomatlashtirilmagan</t>
        </is>
      </c>
      <c r="O53" s="27" t="inlineStr"/>
      <c r="P53" s="29" t="inlineStr">
        <is>
          <t>Bajarilmagan</t>
        </is>
      </c>
      <c r="Q53" s="27" t="inlineStr"/>
    </row>
    <row r="54" ht="34" customHeight="1">
      <c r="A54" s="26" t="inlineStr">
        <is>
          <t>MDL-004</t>
        </is>
      </c>
      <c r="B54" s="27" t="inlineStr">
        <is>
          <t>Qurilma modeli bo'yicha tanlash</t>
        </is>
      </c>
      <c r="C54" s="27" t="inlineStr">
        <is>
          <t>Kategoriya</t>
        </is>
      </c>
      <c r="D54" s="28" t="inlineStr">
        <is>
          <t>Model va ehtiyot qism kategoriyasini tanlash → mahsulotlar ro'yxati</t>
        </is>
      </c>
      <c r="E54" s="29" t="inlineStr">
        <is>
          <t>P1</t>
        </is>
      </c>
      <c r="F54" s="29" t="inlineStr">
        <is>
          <t>Functional</t>
        </is>
      </c>
      <c r="G54" s="27" t="inlineStr">
        <is>
          <t>Foydalanuvchi Usta sifatida tizimga kirgan</t>
        </is>
      </c>
      <c r="H54" s="27" t="inlineStr">
        <is>
          <t>1. «Model» → Samsung → Galaxy A52 (A525)
2. «Displeylar» kategoriyasini tanlash</t>
        </is>
      </c>
      <c r="I54" s="27" t="inlineStr"/>
      <c r="J54" s="27" t="inlineStr">
        <is>
          <t>Galaxy A52 ga mos «Displeylar» kategoriyasidagi mahsulotlar ro'yxati ochildi</t>
        </is>
      </c>
      <c r="K54" s="27" t="inlineStr"/>
      <c r="L54" s="29" t="inlineStr">
        <is>
          <t>Ha</t>
        </is>
      </c>
      <c r="M54" s="27" t="inlineStr"/>
      <c r="N54" s="29" t="inlineStr">
        <is>
          <t>Avtomatlashtirilmagan</t>
        </is>
      </c>
      <c r="O54" s="27" t="inlineStr"/>
      <c r="P54" s="29" t="inlineStr">
        <is>
          <t>Bajarilmagan</t>
        </is>
      </c>
      <c r="Q54" s="27" t="inlineStr"/>
    </row>
    <row r="55" ht="48" customHeight="1">
      <c r="A55" s="26" t="inlineStr">
        <is>
          <t>MDL-005</t>
        </is>
      </c>
      <c r="B55" s="27" t="inlineStr">
        <is>
          <t>Qurilma modeli bo'yicha tanlash</t>
        </is>
      </c>
      <c r="C55" s="27" t="inlineStr">
        <is>
          <t>Navigatsiya</t>
        </is>
      </c>
      <c r="D55" s="28" t="inlineStr">
        <is>
          <t>«Orqaga» tugmasi va oynani yopish</t>
        </is>
      </c>
      <c r="E55" s="29" t="inlineStr">
        <is>
          <t>P3</t>
        </is>
      </c>
      <c r="F55" s="29" t="inlineStr">
        <is>
          <t>UI</t>
        </is>
      </c>
      <c r="G55" s="27" t="inlineStr">
        <is>
          <t>Foydalanuvchi Usta sifatida tizimga kirgan</t>
        </is>
      </c>
      <c r="H55" s="27" t="inlineStr">
        <is>
          <t>1. Brend → model qadamlaridan o'tish
2. «←»ni bosish
3. «×»ni bosish</t>
        </is>
      </c>
      <c r="I55" s="27" t="inlineStr"/>
      <c r="J55" s="27" t="inlineStr">
        <is>
          <t>«←» oldingi qadamga qaytaradi; «×» oynani yopadi</t>
        </is>
      </c>
      <c r="K55" s="27" t="inlineStr"/>
      <c r="L55" s="29" t="inlineStr">
        <is>
          <t>Ha</t>
        </is>
      </c>
      <c r="M55" s="27" t="inlineStr"/>
      <c r="N55" s="29" t="inlineStr">
        <is>
          <t>Avtomatlashtirilmagan</t>
        </is>
      </c>
      <c r="O55" s="27" t="inlineStr"/>
      <c r="P55" s="29" t="inlineStr">
        <is>
          <t>Bajarilmagan</t>
        </is>
      </c>
      <c r="Q55" s="27" t="inlineStr"/>
    </row>
    <row r="56" ht="48" customHeight="1">
      <c r="A56" s="30" t="inlineStr">
        <is>
          <t>SRCH-001</t>
        </is>
      </c>
      <c r="B56" s="31" t="inlineStr">
        <is>
          <t>Qidiruv</t>
        </is>
      </c>
      <c r="C56" s="31" t="inlineStr">
        <is>
          <t>Qidiruv</t>
        </is>
      </c>
      <c r="D56" s="32" t="inlineStr">
        <is>
          <t>Mahsulotning aniq nomi bo'yicha qidiruv</t>
        </is>
      </c>
      <c r="E56" s="33" t="inlineStr">
        <is>
          <t>P1</t>
        </is>
      </c>
      <c r="F56" s="33" t="inlineStr">
        <is>
          <t>Smoke</t>
        </is>
      </c>
      <c r="G56" s="31" t="inlineStr">
        <is>
          <t>Foydalanuvchi Usta sifatida tizimga kirgan</t>
        </is>
      </c>
      <c r="H56" s="31" t="inlineStr">
        <is>
          <t>1. Qidiruvga haqiqiy mahsulot nomini kiritish
2. Enter ni bosish</t>
        </is>
      </c>
      <c r="I56" s="31" t="inlineStr">
        <is>
          <t>Nom bosh sahifadan dinamik olinadi</t>
        </is>
      </c>
      <c r="J56" s="31" t="inlineStr">
        <is>
          <t>Mahsulot /uz/filter?query=... natijasida topildi</t>
        </is>
      </c>
      <c r="K56" s="31" t="inlineStr"/>
      <c r="L56" s="33" t="inlineStr">
        <is>
          <t>Ha</t>
        </is>
      </c>
      <c r="M56" s="31" t="inlineStr"/>
      <c r="N56" s="33" t="inlineStr">
        <is>
          <t>Avtomatlashtirilgan</t>
        </is>
      </c>
      <c r="O56" s="31" t="inlineStr">
        <is>
          <t>storefront/catalog/SearchTest#searchingByRealProductNameFindsThatProduct</t>
        </is>
      </c>
      <c r="P56" s="33" t="inlineStr">
        <is>
          <t>Bajarilmagan</t>
        </is>
      </c>
      <c r="Q56" s="31" t="inlineStr"/>
    </row>
    <row r="57" ht="34" customHeight="1">
      <c r="A57" s="30" t="inlineStr">
        <is>
          <t>SRCH-002</t>
        </is>
      </c>
      <c r="B57" s="31" t="inlineStr">
        <is>
          <t>Qidiruv</t>
        </is>
      </c>
      <c r="C57" s="31" t="inlineStr">
        <is>
          <t>Qidiruv</t>
        </is>
      </c>
      <c r="D57" s="32" t="inlineStr">
        <is>
          <t>Barcha natijalar so'rovga mos</t>
        </is>
      </c>
      <c r="E57" s="33" t="inlineStr">
        <is>
          <t>P2</t>
        </is>
      </c>
      <c r="F57" s="33" t="inlineStr">
        <is>
          <t>Functional</t>
        </is>
      </c>
      <c r="G57" s="31" t="inlineStr">
        <is>
          <t>Foydalanuvchi Usta sifatida tizimga kirgan</t>
        </is>
      </c>
      <c r="H57" s="31" t="inlineStr">
        <is>
          <t>1. So'rov kiritish (masalan, «Samsung»)
2. Barcha kartochkalar nomini tekshirish</t>
        </is>
      </c>
      <c r="I57" s="31" t="inlineStr"/>
      <c r="J57" s="31" t="inlineStr">
        <is>
          <t>Har bir nomda so'rov bor</t>
        </is>
      </c>
      <c r="K57" s="31" t="inlineStr"/>
      <c r="L57" s="33" t="inlineStr">
        <is>
          <t>Ha</t>
        </is>
      </c>
      <c r="M57" s="31" t="inlineStr"/>
      <c r="N57" s="33" t="inlineStr">
        <is>
          <t>Avtomatlashtirilgan</t>
        </is>
      </c>
      <c r="O57" s="31" t="inlineStr">
        <is>
          <t>storefront/catalog/SearchTest#searchResultsAreRelevantToQuery</t>
        </is>
      </c>
      <c r="P57" s="33" t="inlineStr">
        <is>
          <t>Bajarilmagan</t>
        </is>
      </c>
      <c r="Q57" s="31" t="inlineStr"/>
    </row>
    <row r="58" ht="34" customHeight="1">
      <c r="A58" s="30" t="inlineStr">
        <is>
          <t>SRCH-003</t>
        </is>
      </c>
      <c r="B58" s="31" t="inlineStr">
        <is>
          <t>Qidiruv</t>
        </is>
      </c>
      <c r="C58" s="31" t="inlineStr">
        <is>
          <t>Qidiruv</t>
        </is>
      </c>
      <c r="D58" s="32" t="inlineStr">
        <is>
          <t>Mavjud bo'lmagan so'rov bo'yicha qidiruv</t>
        </is>
      </c>
      <c r="E58" s="33" t="inlineStr">
        <is>
          <t>P2</t>
        </is>
      </c>
      <c r="F58" s="33" t="inlineStr">
        <is>
          <t>Negative</t>
        </is>
      </c>
      <c r="G58" s="31" t="inlineStr">
        <is>
          <t>Foydalanuvchi Usta sifatida tizimga kirgan</t>
        </is>
      </c>
      <c r="H58" s="31" t="inlineStr">
        <is>
          <t>1. Tasodifiy satr kiritish</t>
        </is>
      </c>
      <c r="I58" s="31" t="inlineStr">
        <is>
          <t>qwertyzxcv12345</t>
        </is>
      </c>
      <c r="J58" s="31" t="inlineStr">
        <is>
          <t>Bo'sh holat «mahsulot yo'q» ko'rsatiladi</t>
        </is>
      </c>
      <c r="K58" s="31" t="inlineStr"/>
      <c r="L58" s="33" t="inlineStr">
        <is>
          <t>Ha</t>
        </is>
      </c>
      <c r="M58" s="31" t="inlineStr"/>
      <c r="N58" s="33" t="inlineStr">
        <is>
          <t>Avtomatlashtirilgan</t>
        </is>
      </c>
      <c r="O58" s="31" t="inlineStr">
        <is>
          <t>storefront/catalog/SearchTest#searchingUnknownTermShowsEmptyState</t>
        </is>
      </c>
      <c r="P58" s="33" t="inlineStr">
        <is>
          <t>Bajarilmagan</t>
        </is>
      </c>
      <c r="Q58" s="31" t="inlineStr"/>
    </row>
    <row r="59" ht="48" customHeight="1">
      <c r="A59" s="30" t="inlineStr">
        <is>
          <t>SRCH-004</t>
        </is>
      </c>
      <c r="B59" s="31" t="inlineStr">
        <is>
          <t>Qidiruv</t>
        </is>
      </c>
      <c r="C59" s="31" t="inlineStr">
        <is>
          <t>Qidiruv</t>
        </is>
      </c>
      <c r="D59" s="32" t="inlineStr">
        <is>
          <t>Qidiruv natijasidan mahsulotga o'tish</t>
        </is>
      </c>
      <c r="E59" s="33" t="inlineStr">
        <is>
          <t>P1</t>
        </is>
      </c>
      <c r="F59" s="33" t="inlineStr">
        <is>
          <t>Functional</t>
        </is>
      </c>
      <c r="G59" s="31" t="inlineStr">
        <is>
          <t>Foydalanuvchi Usta sifatida tizimga kirgan</t>
        </is>
      </c>
      <c r="H59" s="31" t="inlineStr">
        <is>
          <t>1. Qidiruvni bajarish
2. Birinchi kartochkani bosish</t>
        </is>
      </c>
      <c r="I59" s="31" t="inlineStr"/>
      <c r="J59" s="31" t="inlineStr">
        <is>
          <t>Aynan shu mahsulot sahifasi ochildi (pvId mos)</t>
        </is>
      </c>
      <c r="K59" s="31" t="inlineStr"/>
      <c r="L59" s="33" t="inlineStr">
        <is>
          <t>Ha</t>
        </is>
      </c>
      <c r="M59" s="31" t="inlineStr"/>
      <c r="N59" s="33" t="inlineStr">
        <is>
          <t>Avtomatlashtirilgan</t>
        </is>
      </c>
      <c r="O59" s="31" t="inlineStr">
        <is>
          <t>storefront/catalog/SearchTest#openingSearchResultNavigatesToMatchingProduct</t>
        </is>
      </c>
      <c r="P59" s="33" t="inlineStr">
        <is>
          <t>Bajarilmagan</t>
        </is>
      </c>
      <c r="Q59" s="31" t="inlineStr"/>
    </row>
    <row r="60" ht="34" customHeight="1">
      <c r="A60" s="30" t="inlineStr">
        <is>
          <t>SRCH-005</t>
        </is>
      </c>
      <c r="B60" s="31" t="inlineStr">
        <is>
          <t>Qidiruv</t>
        </is>
      </c>
      <c r="C60" s="31" t="inlineStr">
        <is>
          <t>Qidiruv</t>
        </is>
      </c>
      <c r="D60" s="32" t="inlineStr">
        <is>
          <t>Mahsulot ID si bo'yicha qidiruv</t>
        </is>
      </c>
      <c r="E60" s="33" t="inlineStr">
        <is>
          <t>P2</t>
        </is>
      </c>
      <c r="F60" s="33" t="inlineStr">
        <is>
          <t>Functional</t>
        </is>
      </c>
      <c r="G60" s="31" t="inlineStr">
        <is>
          <t>Foydalanuvchi Usta sifatida tizimga kirgan</t>
        </is>
      </c>
      <c r="H60" s="31" t="inlineStr">
        <is>
          <t>1. Mahsulot ID sini kiritish</t>
        </is>
      </c>
      <c r="I60" s="31" t="inlineStr">
        <is>
          <t>9824</t>
        </is>
      </c>
      <c r="J60" s="31" t="inlineStr">
        <is>
          <t>Natijada ID 9824 mahsulot</t>
        </is>
      </c>
      <c r="K60" s="31" t="inlineStr"/>
      <c r="L60" s="33" t="inlineStr">
        <is>
          <t>Ha</t>
        </is>
      </c>
      <c r="M60" s="31" t="inlineStr"/>
      <c r="N60" s="33" t="inlineStr">
        <is>
          <t>Avtomatlashtirilmagan</t>
        </is>
      </c>
      <c r="O60" s="31" t="inlineStr"/>
      <c r="P60" s="33" t="inlineStr">
        <is>
          <t>Bajarilmagan</t>
        </is>
      </c>
      <c r="Q60" s="31" t="inlineStr"/>
    </row>
    <row r="61" ht="34" customHeight="1">
      <c r="A61" s="30" t="inlineStr">
        <is>
          <t>SRCH-006</t>
        </is>
      </c>
      <c r="B61" s="31" t="inlineStr">
        <is>
          <t>Qidiruv</t>
        </is>
      </c>
      <c r="C61" s="31" t="inlineStr">
        <is>
          <t>Qidiruv</t>
        </is>
      </c>
      <c r="D61" s="32" t="inlineStr">
        <is>
          <t>Qidiruvni lupa tugmasi va Enter bilan ishga tushirish</t>
        </is>
      </c>
      <c r="E61" s="33" t="inlineStr">
        <is>
          <t>P3</t>
        </is>
      </c>
      <c r="F61" s="33" t="inlineStr">
        <is>
          <t>Functional</t>
        </is>
      </c>
      <c r="G61" s="31" t="inlineStr">
        <is>
          <t>Foydalanuvchi Usta sifatida tizimga kirgan</t>
        </is>
      </c>
      <c r="H61" s="31" t="inlineStr">
        <is>
          <t>1. So'rov kiritib lupani bosish
2. Enter bilan takrorlash</t>
        </is>
      </c>
      <c r="I61" s="31" t="inlineStr"/>
      <c r="J61" s="31" t="inlineStr">
        <is>
          <t>Ikkala holatda ham bir xil natija ochiladi</t>
        </is>
      </c>
      <c r="K61" s="31" t="inlineStr"/>
      <c r="L61" s="33" t="inlineStr">
        <is>
          <t>Ha</t>
        </is>
      </c>
      <c r="M61" s="31" t="inlineStr"/>
      <c r="N61" s="33" t="inlineStr">
        <is>
          <t>Avtomatlashtirilmagan</t>
        </is>
      </c>
      <c r="O61" s="31" t="inlineStr"/>
      <c r="P61" s="33" t="inlineStr">
        <is>
          <t>Bajarilmagan</t>
        </is>
      </c>
      <c r="Q61" s="31" t="inlineStr"/>
    </row>
    <row r="62" ht="34" customHeight="1">
      <c r="A62" s="30" t="inlineStr">
        <is>
          <t>SRCH-007</t>
        </is>
      </c>
      <c r="B62" s="31" t="inlineStr">
        <is>
          <t>Qidiruv</t>
        </is>
      </c>
      <c r="C62" s="31" t="inlineStr">
        <is>
          <t>Qidiruv</t>
        </is>
      </c>
      <c r="D62" s="32" t="inlineStr">
        <is>
          <t>Bo'sh so'rov va faqat bo'shliqlardan iborat so'rov</t>
        </is>
      </c>
      <c r="E62" s="33" t="inlineStr">
        <is>
          <t>P3</t>
        </is>
      </c>
      <c r="F62" s="33" t="inlineStr">
        <is>
          <t>Negative</t>
        </is>
      </c>
      <c r="G62" s="31" t="inlineStr">
        <is>
          <t>Foydalanuvchi Usta sifatida tizimga kirgan</t>
        </is>
      </c>
      <c r="H62" s="31" t="inlineStr">
        <is>
          <t>1. Bo'sh maydon bilan qidiruvni bosish
2. Faqat bo'shliqlar kiritish</t>
        </is>
      </c>
      <c r="I62" s="31" t="inlineStr"/>
      <c r="J62" s="31" t="inlineStr">
        <is>
          <t>Qidiruv bajarilmaydi yoki umumiy katalog xatosiz ochiladi</t>
        </is>
      </c>
      <c r="K62" s="31" t="inlineStr"/>
      <c r="L62" s="33" t="inlineStr">
        <is>
          <t>Ha</t>
        </is>
      </c>
      <c r="M62" s="31" t="inlineStr"/>
      <c r="N62" s="33" t="inlineStr">
        <is>
          <t>Avtomatlashtirilmagan</t>
        </is>
      </c>
      <c r="O62" s="31" t="inlineStr"/>
      <c r="P62" s="33" t="inlineStr">
        <is>
          <t>Bajarilmagan</t>
        </is>
      </c>
      <c r="Q62" s="31" t="inlineStr"/>
    </row>
    <row r="63" ht="34" customHeight="1">
      <c r="A63" s="30" t="inlineStr">
        <is>
          <t>SRCH-008</t>
        </is>
      </c>
      <c r="B63" s="31" t="inlineStr">
        <is>
          <t>Qidiruv</t>
        </is>
      </c>
      <c r="C63" s="31" t="inlineStr">
        <is>
          <t>Qidiruv</t>
        </is>
      </c>
      <c r="D63" s="32" t="inlineStr">
        <is>
          <t>Kirill / lotin harflari va turli registrda qidiruv</t>
        </is>
      </c>
      <c r="E63" s="33" t="inlineStr">
        <is>
          <t>P3</t>
        </is>
      </c>
      <c r="F63" s="33" t="inlineStr">
        <is>
          <t>Functional</t>
        </is>
      </c>
      <c r="G63" s="31" t="inlineStr">
        <is>
          <t>Foydalanuvchi Usta sifatida tizimga kirgan</t>
        </is>
      </c>
      <c r="H63" s="31" t="inlineStr">
        <is>
          <t>1. «samsung», «SAMSUNG», «Самсунг» ni qidirish</t>
        </is>
      </c>
      <c r="I63" s="31" t="inlineStr"/>
      <c r="J63" s="31" t="inlineStr">
        <is>
          <t>Registr ta'sir qilmaydi; kirill uchun xatti-harakat biznes kutganiga mos</t>
        </is>
      </c>
      <c r="K63" s="31" t="inlineStr"/>
      <c r="L63" s="33" t="inlineStr">
        <is>
          <t>Ha</t>
        </is>
      </c>
      <c r="M63" s="31" t="inlineStr"/>
      <c r="N63" s="33" t="inlineStr">
        <is>
          <t>Avtomatlashtirilmagan</t>
        </is>
      </c>
      <c r="O63" s="31" t="inlineStr"/>
      <c r="P63" s="33" t="inlineStr">
        <is>
          <t>Bajarilmagan</t>
        </is>
      </c>
      <c r="Q63" s="31" t="inlineStr"/>
    </row>
    <row r="64" ht="48" customHeight="1">
      <c r="A64" s="30" t="inlineStr">
        <is>
          <t>SRCH-009</t>
        </is>
      </c>
      <c r="B64" s="31" t="inlineStr">
        <is>
          <t>Qidiruv</t>
        </is>
      </c>
      <c r="C64" s="31" t="inlineStr">
        <is>
          <t>Qidiruv</t>
        </is>
      </c>
      <c r="D64" s="32" t="inlineStr">
        <is>
          <t>Qidiruv natijasida filtr va saralash</t>
        </is>
      </c>
      <c r="E64" s="33" t="inlineStr">
        <is>
          <t>P3</t>
        </is>
      </c>
      <c r="F64" s="33" t="inlineStr">
        <is>
          <t>Functional</t>
        </is>
      </c>
      <c r="G64" s="31" t="inlineStr">
        <is>
          <t>Foydalanuvchi Usta sifatida tizimga kirgan</t>
        </is>
      </c>
      <c r="H64" s="31" t="inlineStr">
        <is>
          <t>1. Qidiruvni bajarish
2. «Arzonlaridan boshlab» va «Mavjudlari ko'rinsin»ni qo'llash</t>
        </is>
      </c>
      <c r="I64" s="31" t="inlineStr"/>
      <c r="J64" s="31" t="inlineStr">
        <is>
          <t>Filtrlar qidiruv natijasiga qo'llanadi, so'rov saqlanadi</t>
        </is>
      </c>
      <c r="K64" s="31" t="inlineStr"/>
      <c r="L64" s="33" t="inlineStr">
        <is>
          <t>Ha</t>
        </is>
      </c>
      <c r="M64" s="31" t="inlineStr"/>
      <c r="N64" s="33" t="inlineStr">
        <is>
          <t>Avtomatlashtirilmagan</t>
        </is>
      </c>
      <c r="O64" s="31" t="inlineStr"/>
      <c r="P64" s="33" t="inlineStr">
        <is>
          <t>Bajarilmagan</t>
        </is>
      </c>
      <c r="Q64" s="31" t="inlineStr"/>
    </row>
    <row r="65" ht="62" customHeight="1">
      <c r="A65" s="26" t="inlineStr">
        <is>
          <t>PDP-001</t>
        </is>
      </c>
      <c r="B65" s="27" t="inlineStr">
        <is>
          <t>Mahsulot sahifasi</t>
        </is>
      </c>
      <c r="C65" s="27" t="inlineStr">
        <is>
          <t>Ko'rinish</t>
        </is>
      </c>
      <c r="D65" s="28" t="inlineStr">
        <is>
          <t>Mahsulot sahifasining asosiy elementlari</t>
        </is>
      </c>
      <c r="E65" s="29" t="inlineStr">
        <is>
          <t>P1</t>
        </is>
      </c>
      <c r="F65" s="29" t="inlineStr">
        <is>
          <t>Smoke</t>
        </is>
      </c>
      <c r="G65" s="27" t="inlineStr">
        <is>
          <t>Foydalanuvchi Usta sifatida tizimga kirgan</t>
        </is>
      </c>
      <c r="H65" s="27" t="inlineStr">
        <is>
          <t>1. Chegirmali mahsulotni ochish</t>
        </is>
      </c>
      <c r="I65" s="27" t="inlineStr">
        <is>
          <t>pvId=9824</t>
        </is>
      </c>
      <c r="J65" s="27" t="inlineStr">
        <is>
          <t>(ID: N) bilan nom, «non bo'laklari», galereya, narx, chizilgan eski narx, -% nishoni, $ dagi narx, reyting, «Sifati», omborlar bo'yicha qoldiq, miqdor, sevimlilar va «Tezkor harid» tugmalari</t>
        </is>
      </c>
      <c r="K65" s="27" t="inlineStr"/>
      <c r="L65" s="29" t="inlineStr">
        <is>
          <t>Ha</t>
        </is>
      </c>
      <c r="M65" s="27" t="inlineStr"/>
      <c r="N65" s="29" t="inlineStr">
        <is>
          <t>Avtomatlashtirilmagan</t>
        </is>
      </c>
      <c r="O65" s="27" t="inlineStr"/>
      <c r="P65" s="29" t="inlineStr">
        <is>
          <t>Bajarilmagan</t>
        </is>
      </c>
      <c r="Q65" s="27" t="inlineStr"/>
    </row>
    <row r="66" ht="34" customHeight="1">
      <c r="A66" s="26" t="inlineStr">
        <is>
          <t>PDP-002</t>
        </is>
      </c>
      <c r="B66" s="27" t="inlineStr">
        <is>
          <t>Mahsulot sahifasi</t>
        </is>
      </c>
      <c r="C66" s="27" t="inlineStr">
        <is>
          <t>Variantlar</t>
        </is>
      </c>
      <c r="D66" s="28" t="inlineStr">
        <is>
          <t>«Sifati» variantini almashtirish</t>
        </is>
      </c>
      <c r="E66" s="29" t="inlineStr">
        <is>
          <t>P1</t>
        </is>
      </c>
      <c r="F66" s="29" t="inlineStr">
        <is>
          <t>Functional</t>
        </is>
      </c>
      <c r="G66" s="27" t="inlineStr">
        <is>
          <t>Foydalanuvchi Usta sifatida tizimga kirgan</t>
        </is>
      </c>
      <c r="H66" s="27" t="inlineStr">
        <is>
          <t>1. Bir nechta sifat varianti bor mahsulotni ochish
2. Boshqa variantni tanlash</t>
        </is>
      </c>
      <c r="I66" s="27" t="inlineStr"/>
      <c r="J66" s="27" t="inlineStr">
        <is>
          <t>Narx, ID (URL dagi pvId), qoldiqlar o'zgaradi; tanlangan variant ajratib ko'rsatilgan</t>
        </is>
      </c>
      <c r="K66" s="27" t="inlineStr"/>
      <c r="L66" s="29" t="inlineStr">
        <is>
          <t>Ha</t>
        </is>
      </c>
      <c r="M66" s="27" t="inlineStr"/>
      <c r="N66" s="29" t="inlineStr">
        <is>
          <t>Avtomatlashtirilmagan</t>
        </is>
      </c>
      <c r="O66" s="27" t="inlineStr"/>
      <c r="P66" s="29" t="inlineStr">
        <is>
          <t>Bajarilmagan</t>
        </is>
      </c>
      <c r="Q66" s="27" t="inlineStr"/>
    </row>
    <row r="67" ht="48" customHeight="1">
      <c r="A67" s="26" t="inlineStr">
        <is>
          <t>PDP-003</t>
        </is>
      </c>
      <c r="B67" s="27" t="inlineStr">
        <is>
          <t>Mahsulot sahifasi</t>
        </is>
      </c>
      <c r="C67" s="27" t="inlineStr">
        <is>
          <t>Mavjudlik</t>
        </is>
      </c>
      <c r="D67" s="28" t="inlineStr">
        <is>
          <t>Omborlar bo'yicha qoldiq</t>
        </is>
      </c>
      <c r="E67" s="29" t="inlineStr">
        <is>
          <t>P2</t>
        </is>
      </c>
      <c r="F67" s="29" t="inlineStr">
        <is>
          <t>Functional</t>
        </is>
      </c>
      <c r="G67" s="27" t="inlineStr">
        <is>
          <t>Foydalanuvchi Usta sifatida tizimga kirgan</t>
        </is>
      </c>
      <c r="H67" s="27" t="inlineStr">
        <is>
          <t>1. Mahsulotni ochish
2. Omborlar blokini tekshirish</t>
        </is>
      </c>
      <c r="I67" s="27" t="inlineStr"/>
      <c r="J67" s="27" t="inlineStr">
        <is>
          <t>Har bir ombor bo'yicha miqdor ko'rsatiladi («Asosiy ombor», «Aksessuar ombor»); admin paneldagi ma'lumotlarga mos</t>
        </is>
      </c>
      <c r="K67" s="27" t="inlineStr"/>
      <c r="L67" s="29" t="inlineStr">
        <is>
          <t>Qisman</t>
        </is>
      </c>
      <c r="M67" s="27" t="inlineStr">
        <is>
          <t>Admin bilan solishtirish — API orqali</t>
        </is>
      </c>
      <c r="N67" s="29" t="inlineStr">
        <is>
          <t>Avtomatlashtirilmagan</t>
        </is>
      </c>
      <c r="O67" s="27" t="inlineStr"/>
      <c r="P67" s="29" t="inlineStr">
        <is>
          <t>Bajarilmagan</t>
        </is>
      </c>
      <c r="Q67" s="27" t="inlineStr"/>
    </row>
    <row r="68" ht="48" customHeight="1">
      <c r="A68" s="26" t="inlineStr">
        <is>
          <t>PDP-004</t>
        </is>
      </c>
      <c r="B68" s="27" t="inlineStr">
        <is>
          <t>Mahsulot sahifasi</t>
        </is>
      </c>
      <c r="C68" s="27" t="inlineStr">
        <is>
          <t>Miqdor</t>
        </is>
      </c>
      <c r="D68" s="28" t="inlineStr">
        <is>
          <t>Miqdorni o'zgartirish (+/−/qo'lda kiritish)</t>
        </is>
      </c>
      <c r="E68" s="29" t="inlineStr">
        <is>
          <t>P1</t>
        </is>
      </c>
      <c r="F68" s="29" t="inlineStr">
        <is>
          <t>Functional</t>
        </is>
      </c>
      <c r="G68" s="27" t="inlineStr">
        <is>
          <t>Foydalanuvchi Usta sifatida tizimga kirgan</t>
        </is>
      </c>
      <c r="H68" s="27" t="inlineStr">
        <is>
          <t>1. «+»ni ikki marta bosish
2. «−»ni bosish
3. Raqamni qo'lda kiritish</t>
        </is>
      </c>
      <c r="I68" s="27" t="inlineStr"/>
      <c r="J68" s="27" t="inlineStr">
        <is>
          <t>Hisoblagich to'g'ri o'zgaradi; mahsulot savatga qo'shiladi; savat nishoni yangilanadi</t>
        </is>
      </c>
      <c r="K68" s="27" t="inlineStr"/>
      <c r="L68" s="29" t="inlineStr">
        <is>
          <t>Ha</t>
        </is>
      </c>
      <c r="M68" s="27" t="inlineStr"/>
      <c r="N68" s="29" t="inlineStr">
        <is>
          <t>Avtomatlashtirilmagan</t>
        </is>
      </c>
      <c r="O68" s="27" t="inlineStr"/>
      <c r="P68" s="29" t="inlineStr">
        <is>
          <t>Bajarilmagan</t>
        </is>
      </c>
      <c r="Q68" s="27" t="inlineStr"/>
    </row>
    <row r="69" ht="34" customHeight="1">
      <c r="A69" s="26" t="inlineStr">
        <is>
          <t>PDP-005</t>
        </is>
      </c>
      <c r="B69" s="27" t="inlineStr">
        <is>
          <t>Mahsulot sahifasi</t>
        </is>
      </c>
      <c r="C69" s="27" t="inlineStr">
        <is>
          <t>Miqdor</t>
        </is>
      </c>
      <c r="D69" s="28" t="inlineStr">
        <is>
          <t>Mavjud qoldiqdan ko'p qo'shib bo'lmaydi</t>
        </is>
      </c>
      <c r="E69" s="29" t="inlineStr">
        <is>
          <t>P1</t>
        </is>
      </c>
      <c r="F69" s="29" t="inlineStr">
        <is>
          <t>Negative</t>
        </is>
      </c>
      <c r="G69" s="27" t="inlineStr">
        <is>
          <t>Foydalanuvchi Usta sifatida tizimga kirgan</t>
        </is>
      </c>
      <c r="H69" s="27" t="inlineStr">
        <is>
          <t>1. Qoldig'i N bo'lgan mahsulotni ochish
2. N+1 miqdorni kiritish</t>
        </is>
      </c>
      <c r="I69" s="27" t="inlineStr">
        <is>
          <t>Qoldig'i 3 bo'lgan mahsulot</t>
        </is>
      </c>
      <c r="J69" s="27" t="inlineStr">
        <is>
          <t>Miqdor qoldiq bilan cheklanadi yoki ogohlantirish chiqadi</t>
        </is>
      </c>
      <c r="K69" s="27" t="inlineStr"/>
      <c r="L69" s="29" t="inlineStr">
        <is>
          <t>Ha</t>
        </is>
      </c>
      <c r="M69" s="27" t="inlineStr"/>
      <c r="N69" s="29" t="inlineStr">
        <is>
          <t>Avtomatlashtirilmagan</t>
        </is>
      </c>
      <c r="O69" s="27" t="inlineStr"/>
      <c r="P69" s="29" t="inlineStr">
        <is>
          <t>Bajarilmagan</t>
        </is>
      </c>
      <c r="Q69" s="27" t="inlineStr"/>
    </row>
    <row r="70" ht="48" customHeight="1">
      <c r="A70" s="26" t="inlineStr">
        <is>
          <t>PDP-006</t>
        </is>
      </c>
      <c r="B70" s="27" t="inlineStr">
        <is>
          <t>Mahsulot sahifasi</t>
        </is>
      </c>
      <c r="C70" s="27" t="inlineStr">
        <is>
          <t>Xarid</t>
        </is>
      </c>
      <c r="D70" s="28" t="inlineStr">
        <is>
          <t>«Tezkor harid» rasmiylashtirishga olib boradi</t>
        </is>
      </c>
      <c r="E70" s="29" t="inlineStr">
        <is>
          <t>P1</t>
        </is>
      </c>
      <c r="F70" s="29" t="inlineStr">
        <is>
          <t>Functional</t>
        </is>
      </c>
      <c r="G70" s="27" t="inlineStr">
        <is>
          <t>Foydalanuvchi Usta sifatida tizimga kirgan</t>
        </is>
      </c>
      <c r="H70" s="27" t="inlineStr">
        <is>
          <t>1. Mavjud mahsulotni ochish
2. «Tezkor harid»ni bosish</t>
        </is>
      </c>
      <c r="I70" s="27" t="inlineStr"/>
      <c r="J70" s="27" t="inlineStr">
        <is>
          <t>Shu mahsulot bilan rasmiylashtirish ochildi; tugmadagi yetkazish muddati («Ertaga 15:00 da») tanlangan do'konga mos</t>
        </is>
      </c>
      <c r="K70" s="27" t="inlineStr"/>
      <c r="L70" s="29" t="inlineStr">
        <is>
          <t>Ha</t>
        </is>
      </c>
      <c r="M70" s="27" t="inlineStr"/>
      <c r="N70" s="29" t="inlineStr">
        <is>
          <t>Avtomatlashtirilmagan</t>
        </is>
      </c>
      <c r="O70" s="27" t="inlineStr"/>
      <c r="P70" s="29" t="inlineStr">
        <is>
          <t>Bajarilmagan</t>
        </is>
      </c>
      <c r="Q70" s="27" t="inlineStr"/>
    </row>
    <row r="71" ht="34" customHeight="1">
      <c r="A71" s="26" t="inlineStr">
        <is>
          <t>PDP-007</t>
        </is>
      </c>
      <c r="B71" s="27" t="inlineStr">
        <is>
          <t>Mahsulot sahifasi</t>
        </is>
      </c>
      <c r="C71" s="27" t="inlineStr">
        <is>
          <t>Sevimlilar</t>
        </is>
      </c>
      <c r="D71" s="28" t="inlineStr">
        <is>
          <t>Mahsulot sahifasidan sevimlilarga qo'shish</t>
        </is>
      </c>
      <c r="E71" s="29" t="inlineStr">
        <is>
          <t>P2</t>
        </is>
      </c>
      <c r="F71" s="29" t="inlineStr">
        <is>
          <t>Functional</t>
        </is>
      </c>
      <c r="G71" s="27" t="inlineStr">
        <is>
          <t>Foydalanuvchi Usta sifatida tizimga kirgan</t>
        </is>
      </c>
      <c r="H71" s="27" t="inlineStr">
        <is>
          <t>1. Mahsulot sahifasida yurakchani bosish
2. «Sevimlilar»ni ochish</t>
        </is>
      </c>
      <c r="I71" s="27" t="inlineStr"/>
      <c r="J71" s="27" t="inlineStr">
        <is>
          <t>Belgi bo'yalgan, mahsulot sevimlilarda</t>
        </is>
      </c>
      <c r="K71" s="27" t="inlineStr"/>
      <c r="L71" s="29" t="inlineStr">
        <is>
          <t>Ha</t>
        </is>
      </c>
      <c r="M71" s="27" t="inlineStr"/>
      <c r="N71" s="29" t="inlineStr">
        <is>
          <t>Avtomatlashtirilmagan</t>
        </is>
      </c>
      <c r="O71" s="27" t="inlineStr"/>
      <c r="P71" s="29" t="inlineStr">
        <is>
          <t>Bajarilmagan</t>
        </is>
      </c>
      <c r="Q71" s="27" t="inlineStr"/>
    </row>
    <row r="72" ht="34" customHeight="1">
      <c r="A72" s="26" t="inlineStr">
        <is>
          <t>PDP-008</t>
        </is>
      </c>
      <c r="B72" s="27" t="inlineStr">
        <is>
          <t>Mahsulot sahifasi</t>
        </is>
      </c>
      <c r="C72" s="27" t="inlineStr">
        <is>
          <t>Galereya</t>
        </is>
      </c>
      <c r="D72" s="28" t="inlineStr">
        <is>
          <t>Rasmlar galereyasi va to'liq ekranli ko'rish</t>
        </is>
      </c>
      <c r="E72" s="29" t="inlineStr">
        <is>
          <t>P3</t>
        </is>
      </c>
      <c r="F72" s="29" t="inlineStr">
        <is>
          <t>UI</t>
        </is>
      </c>
      <c r="G72" s="27" t="inlineStr">
        <is>
          <t>Foydalanuvchi Usta sifatida tizimga kirgan</t>
        </is>
      </c>
      <c r="H72" s="27" t="inlineStr">
        <is>
          <t>1. Miniatyuralarni almashtirish
2. To'liq ekran belgisini bosish</t>
        </is>
      </c>
      <c r="I72" s="27" t="inlineStr"/>
      <c r="J72" s="27" t="inlineStr">
        <is>
          <t>Rasm almashadi; kattalashtirilgan ko'rinish ochiladi; rasmlar buzilmagan</t>
        </is>
      </c>
      <c r="K72" s="27" t="inlineStr"/>
      <c r="L72" s="29" t="inlineStr">
        <is>
          <t>Qisman</t>
        </is>
      </c>
      <c r="M72" s="27" t="inlineStr">
        <is>
          <t>Xatti-harakat — ha, rasmlar sifati — vizual</t>
        </is>
      </c>
      <c r="N72" s="29" t="inlineStr">
        <is>
          <t>Avtomatlashtirilmagan</t>
        </is>
      </c>
      <c r="O72" s="27" t="inlineStr"/>
      <c r="P72" s="29" t="inlineStr">
        <is>
          <t>Bajarilmagan</t>
        </is>
      </c>
      <c r="Q72" s="27" t="inlineStr"/>
    </row>
    <row r="73" ht="62" customHeight="1">
      <c r="A73" s="26" t="inlineStr">
        <is>
          <t>PDP-009</t>
        </is>
      </c>
      <c r="B73" s="27" t="inlineStr">
        <is>
          <t>Mahsulot sahifasi</t>
        </is>
      </c>
      <c r="C73" s="27" t="inlineStr">
        <is>
          <t>Arzonini topdingizmi</t>
        </is>
      </c>
      <c r="D73" s="28" t="inlineStr">
        <is>
          <t>«Arzonini topdingizmi?» formasi</t>
        </is>
      </c>
      <c r="E73" s="29" t="inlineStr">
        <is>
          <t>P3</t>
        </is>
      </c>
      <c r="F73" s="29" t="inlineStr">
        <is>
          <t>Functional</t>
        </is>
      </c>
      <c r="G73" s="27" t="inlineStr">
        <is>
          <t>Foydalanuvchi Usta sifatida tizimga kirgan</t>
        </is>
      </c>
      <c r="H73" s="27" t="inlineStr">
        <is>
          <t>1. «Arzonini topdingizmi?»ni bosish
2. Formani to'ldirish
3. «So'rov yuborish»ni bosish</t>
        </is>
      </c>
      <c r="I73" s="27" t="inlineStr"/>
      <c r="J73" s="27" t="inlineStr">
        <is>
          <t>Forma ochiladi (Ismi*, Telefon raqam*, Mahsulot havolasi yo tavsifi*, rasm yuklash), maydonlarni validatsiya qiladi, yuborilgandan keyin muvaffaqiyat xabari; so'rov admin panelda ko'rinadi</t>
        </is>
      </c>
      <c r="K73" s="27" t="inlineStr"/>
      <c r="L73" s="29" t="inlineStr">
        <is>
          <t>Qisman</t>
        </is>
      </c>
      <c r="M73" s="27" t="inlineStr">
        <is>
          <t>Ochish va validatsiya — ha; admin paneldagi tekshiruv — alohida</t>
        </is>
      </c>
      <c r="N73" s="29" t="inlineStr">
        <is>
          <t>Avtomatlashtirilmagan</t>
        </is>
      </c>
      <c r="O73" s="27" t="inlineStr"/>
      <c r="P73" s="29" t="inlineStr">
        <is>
          <t>Bajarilmagan</t>
        </is>
      </c>
      <c r="Q73" s="27" t="inlineStr"/>
    </row>
    <row r="74" ht="48" customHeight="1">
      <c r="A74" s="26" t="inlineStr">
        <is>
          <t>PDP-010</t>
        </is>
      </c>
      <c r="B74" s="27" t="inlineStr">
        <is>
          <t>Mahsulot sahifasi</t>
        </is>
      </c>
      <c r="C74" s="27" t="inlineStr">
        <is>
          <t>Tavsiyalar</t>
        </is>
      </c>
      <c r="D74" s="28" t="inlineStr">
        <is>
          <t>«&lt;model&gt; uchun boshqa mahsulotlar» bloki</t>
        </is>
      </c>
      <c r="E74" s="29" t="inlineStr">
        <is>
          <t>P3</t>
        </is>
      </c>
      <c r="F74" s="29" t="inlineStr">
        <is>
          <t>Functional</t>
        </is>
      </c>
      <c r="G74" s="27" t="inlineStr">
        <is>
          <t>Foydalanuvchi Usta sifatida tizimga kirgan</t>
        </is>
      </c>
      <c r="H74" s="27" t="inlineStr">
        <is>
          <t>1. Tavsiyalar blokiga aylantirish
2. Strelkalar bilan varaqlash
3. Mahsulotni ochish</t>
        </is>
      </c>
      <c r="I74" s="27" t="inlineStr"/>
      <c r="J74" s="27" t="inlineStr">
        <is>
          <t>Karusel varaqlanadi; mahsulotlar o'sha modelga tegishli; o'tish ishlaydi</t>
        </is>
      </c>
      <c r="K74" s="27" t="inlineStr"/>
      <c r="L74" s="29" t="inlineStr">
        <is>
          <t>Ha</t>
        </is>
      </c>
      <c r="M74" s="27" t="inlineStr"/>
      <c r="N74" s="29" t="inlineStr">
        <is>
          <t>Avtomatlashtirilmagan</t>
        </is>
      </c>
      <c r="O74" s="27" t="inlineStr"/>
      <c r="P74" s="29" t="inlineStr">
        <is>
          <t>Bajarilmagan</t>
        </is>
      </c>
      <c r="Q74" s="27" t="inlineStr"/>
    </row>
    <row r="75" ht="48" customHeight="1">
      <c r="A75" s="26" t="inlineStr">
        <is>
          <t>PDP-011</t>
        </is>
      </c>
      <c r="B75" s="27" t="inlineStr">
        <is>
          <t>Mahsulot sahifasi</t>
        </is>
      </c>
      <c r="C75" s="27" t="inlineStr">
        <is>
          <t>Mavjudlik</t>
        </is>
      </c>
      <c r="D75" s="28" t="inlineStr">
        <is>
          <t>Mavjud bo'lmagan mahsulot sahifasi</t>
        </is>
      </c>
      <c r="E75" s="29" t="inlineStr">
        <is>
          <t>P1</t>
        </is>
      </c>
      <c r="F75" s="29" t="inlineStr">
        <is>
          <t>Functional</t>
        </is>
      </c>
      <c r="G75" s="27" t="inlineStr">
        <is>
          <t>Foydalanuvchi Usta sifatida tizimga kirgan</t>
        </is>
      </c>
      <c r="H75" s="27" t="inlineStr">
        <is>
          <t>1. Tanlangan varianti qoldig'i 0 bo'lgan mahsulotni ochish</t>
        </is>
      </c>
      <c r="I75" s="27" t="inlineStr"/>
      <c r="J75" s="27" t="inlineStr">
        <is>
          <t>Miqdor va «Tezkor harid» tugmalari faol emas, «Sotuvda yo'q» belgisi ko'rinadi; tizimga kirgan foydalanuvchiga «Bo'lsa olar edim» tugmasi ko'rsatiladi</t>
        </is>
      </c>
      <c r="K75" s="27" t="inlineStr">
        <is>
          <t>PRD Bo'lsa olar edim</t>
        </is>
      </c>
      <c r="L75" s="29" t="inlineStr">
        <is>
          <t>Ha</t>
        </is>
      </c>
      <c r="M75" s="27" t="inlineStr"/>
      <c r="N75" s="29" t="inlineStr">
        <is>
          <t>Avtomatlashtirilmagan</t>
        </is>
      </c>
      <c r="O75" s="27" t="inlineStr"/>
      <c r="P75" s="29" t="inlineStr">
        <is>
          <t>Bajarilmagan</t>
        </is>
      </c>
      <c r="Q75" s="27" t="inlineStr"/>
    </row>
    <row r="76" ht="34" customHeight="1">
      <c r="A76" s="26" t="inlineStr">
        <is>
          <t>PDP-012</t>
        </is>
      </c>
      <c r="B76" s="27" t="inlineStr">
        <is>
          <t>Mahsulot sahifasi</t>
        </is>
      </c>
      <c r="C76" s="27" t="inlineStr">
        <is>
          <t>Xatolar</t>
        </is>
      </c>
      <c r="D76" s="28" t="inlineStr">
        <is>
          <t>To'g'ridan-to'g'ri havola bo'yicha mavjud bo'lmagan mahsulot</t>
        </is>
      </c>
      <c r="E76" s="29" t="inlineStr">
        <is>
          <t>P3</t>
        </is>
      </c>
      <c r="F76" s="29" t="inlineStr">
        <is>
          <t>Negative</t>
        </is>
      </c>
      <c r="G76" s="27" t="inlineStr">
        <is>
          <t>Foydalanuvchi Usta sifatida tizimga kirgan</t>
        </is>
      </c>
      <c r="H76" s="27" t="inlineStr">
        <is>
          <t>1. /uz/product/xxx?pvId=99999999 ni ochish</t>
        </is>
      </c>
      <c r="I76" s="27" t="inlineStr"/>
      <c r="J76" s="27" t="inlineStr">
        <is>
          <t>404 / «mahsulot topilmadi» sahifasi ko'rsatiladi, ilova xatosisiz</t>
        </is>
      </c>
      <c r="K76" s="27" t="inlineStr"/>
      <c r="L76" s="29" t="inlineStr">
        <is>
          <t>Ha</t>
        </is>
      </c>
      <c r="M76" s="27" t="inlineStr"/>
      <c r="N76" s="29" t="inlineStr">
        <is>
          <t>Avtomatlashtirilmagan</t>
        </is>
      </c>
      <c r="O76" s="27" t="inlineStr"/>
      <c r="P76" s="29" t="inlineStr">
        <is>
          <t>Bajarilmagan</t>
        </is>
      </c>
      <c r="Q76" s="27" t="inlineStr"/>
    </row>
    <row r="77" ht="62" customHeight="1">
      <c r="A77" s="26" t="inlineStr">
        <is>
          <t>PDP-013</t>
        </is>
      </c>
      <c r="B77" s="27" t="inlineStr">
        <is>
          <t>Mahsulot sahifasi</t>
        </is>
      </c>
      <c r="C77" s="27" t="inlineStr">
        <is>
          <t>Bo'lsa olar edim</t>
        </is>
      </c>
      <c r="D77" s="28" t="inlineStr">
        <is>
          <t>Qoldig'i yo'q mahsulot uchun «Bo'lsa olar edim»</t>
        </is>
      </c>
      <c r="E77" s="29" t="inlineStr">
        <is>
          <t>P2</t>
        </is>
      </c>
      <c r="F77" s="29" t="inlineStr">
        <is>
          <t>Functional</t>
        </is>
      </c>
      <c r="G77" s="27" t="inlineStr">
        <is>
          <t>Foydalanuvchi Usta sifatida tizimga kirgan; tanlangan variant qoldig'i 0</t>
        </is>
      </c>
      <c r="H77" s="27" t="inlineStr">
        <is>
          <t>1. «Bo'lsa olar edim»ni bosish
2. Miqdorni 2 va izohni kiritish
3. Yuborish</t>
        </is>
      </c>
      <c r="I77" s="27" t="inlineStr"/>
      <c r="J77" s="27" t="inlineStr">
        <is>
          <t>Izohli oyna (majburiyatsiz), miqdor sukut bo'yicha 1 (minimum 1), ixtiyoriy izoh; yuborilgandan keyin — «Fikringiz uchun rahmat!», oyna ~2 s da yopiladi; tugma qoladi; mehmonga tugma ko'rsatilmaydi</t>
        </is>
      </c>
      <c r="K77" s="27" t="inlineStr">
        <is>
          <t>PRD Bo'lsa olar edim §5–6</t>
        </is>
      </c>
      <c r="L77" s="29" t="inlineStr">
        <is>
          <t>Ha</t>
        </is>
      </c>
      <c r="M77" s="27" t="inlineStr">
        <is>
          <t>Admin panelda yozuv yaratadi («Bo'lsa olar edim»)</t>
        </is>
      </c>
      <c r="N77" s="29" t="inlineStr">
        <is>
          <t>Avtomatlashtirilmagan</t>
        </is>
      </c>
      <c r="O77" s="27" t="inlineStr"/>
      <c r="P77" s="29" t="inlineStr">
        <is>
          <t>Bajarilmagan</t>
        </is>
      </c>
      <c r="Q77" s="27" t="inlineStr"/>
    </row>
    <row r="78" ht="48" customHeight="1">
      <c r="A78" s="30" t="inlineStr">
        <is>
          <t>FAV-001</t>
        </is>
      </c>
      <c r="B78" s="31" t="inlineStr">
        <is>
          <t>Sevimlilar</t>
        </is>
      </c>
      <c r="C78" s="31" t="inlineStr">
        <is>
          <t>Sevimlilar</t>
        </is>
      </c>
      <c r="D78" s="32" t="inlineStr">
        <is>
          <t>Bo'sh sevimlilar</t>
        </is>
      </c>
      <c r="E78" s="33" t="inlineStr">
        <is>
          <t>P3</t>
        </is>
      </c>
      <c r="F78" s="33" t="inlineStr">
        <is>
          <t>UI</t>
        </is>
      </c>
      <c r="G78" s="31" t="inlineStr">
        <is>
          <t>Foydalanuvchi Usta sifatida tizimga kirgan; sevimlilar bo'sh</t>
        </is>
      </c>
      <c r="H78" s="31" t="inlineStr">
        <is>
          <t>1. /uz/favourites ni ochish</t>
        </is>
      </c>
      <c r="I78" s="31" t="inlineStr"/>
      <c r="J78" s="31" t="inlineStr">
        <is>
          <t>«Sevimli mahsulotlaringiz hali yo'q» xabari va «Asosiy sahifa» tugmasi</t>
        </is>
      </c>
      <c r="K78" s="31" t="inlineStr"/>
      <c r="L78" s="33" t="inlineStr">
        <is>
          <t>Ha</t>
        </is>
      </c>
      <c r="M78" s="31" t="inlineStr"/>
      <c r="N78" s="33" t="inlineStr">
        <is>
          <t>Avtomatlashtirilmagan</t>
        </is>
      </c>
      <c r="O78" s="31" t="inlineStr"/>
      <c r="P78" s="33" t="inlineStr">
        <is>
          <t>Bajarilmagan</t>
        </is>
      </c>
      <c r="Q78" s="31" t="inlineStr"/>
    </row>
    <row r="79" ht="34" customHeight="1">
      <c r="A79" s="30" t="inlineStr">
        <is>
          <t>FAV-002</t>
        </is>
      </c>
      <c r="B79" s="31" t="inlineStr">
        <is>
          <t>Sevimlilar</t>
        </is>
      </c>
      <c r="C79" s="31" t="inlineStr">
        <is>
          <t>Sevimlilar</t>
        </is>
      </c>
      <c r="D79" s="32" t="inlineStr">
        <is>
          <t>Ro'yxatdan mahsulotni sevimlilarga qo'shish</t>
        </is>
      </c>
      <c r="E79" s="33" t="inlineStr">
        <is>
          <t>P2</t>
        </is>
      </c>
      <c r="F79" s="33" t="inlineStr">
        <is>
          <t>Functional</t>
        </is>
      </c>
      <c r="G79" s="31" t="inlineStr">
        <is>
          <t>Foydalanuvchi Usta sifatida tizimga kirgan</t>
        </is>
      </c>
      <c r="H79" s="31" t="inlineStr">
        <is>
          <t>1. Bosh sahifada kartochkadagi yurakchani bosish
2. «Sevimlilar»ni ochish</t>
        </is>
      </c>
      <c r="I79" s="31" t="inlineStr"/>
      <c r="J79" s="31" t="inlineStr">
        <is>
          <t>Mahsulot sevimlilarda ko'rinadi</t>
        </is>
      </c>
      <c r="K79" s="31" t="inlineStr"/>
      <c r="L79" s="33" t="inlineStr">
        <is>
          <t>Ha</t>
        </is>
      </c>
      <c r="M79" s="31" t="inlineStr"/>
      <c r="N79" s="33" t="inlineStr">
        <is>
          <t>Avtomatlashtirilmagan</t>
        </is>
      </c>
      <c r="O79" s="31" t="inlineStr"/>
      <c r="P79" s="33" t="inlineStr">
        <is>
          <t>Bajarilmagan</t>
        </is>
      </c>
      <c r="Q79" s="31" t="inlineStr"/>
    </row>
    <row r="80" ht="48" customHeight="1">
      <c r="A80" s="30" t="inlineStr">
        <is>
          <t>FAV-003</t>
        </is>
      </c>
      <c r="B80" s="31" t="inlineStr">
        <is>
          <t>Sevimlilar</t>
        </is>
      </c>
      <c r="C80" s="31" t="inlineStr">
        <is>
          <t>Sevimlilar</t>
        </is>
      </c>
      <c r="D80" s="32" t="inlineStr">
        <is>
          <t>Mahsulotni sevimlilardan o'chirish</t>
        </is>
      </c>
      <c r="E80" s="33" t="inlineStr">
        <is>
          <t>P2</t>
        </is>
      </c>
      <c r="F80" s="33" t="inlineStr">
        <is>
          <t>Functional</t>
        </is>
      </c>
      <c r="G80" s="31" t="inlineStr">
        <is>
          <t>Foydalanuvchi Usta sifatida tizimga kirgan; sevimlilarda mahsulot bor</t>
        </is>
      </c>
      <c r="H80" s="31" t="inlineStr">
        <is>
          <t>1. Bo'yalgan yurakchani bosish</t>
        </is>
      </c>
      <c r="I80" s="31" t="inlineStr"/>
      <c r="J80" s="31" t="inlineStr">
        <is>
          <t>Mahsulot sevimlilardan o'chirildi, belgi bo'yalmagan</t>
        </is>
      </c>
      <c r="K80" s="31" t="inlineStr"/>
      <c r="L80" s="33" t="inlineStr">
        <is>
          <t>Ha</t>
        </is>
      </c>
      <c r="M80" s="31" t="inlineStr"/>
      <c r="N80" s="33" t="inlineStr">
        <is>
          <t>Avtomatlashtirilmagan</t>
        </is>
      </c>
      <c r="O80" s="31" t="inlineStr"/>
      <c r="P80" s="33" t="inlineStr">
        <is>
          <t>Bajarilmagan</t>
        </is>
      </c>
      <c r="Q80" s="31" t="inlineStr"/>
    </row>
    <row r="81" ht="48" customHeight="1">
      <c r="A81" s="30" t="inlineStr">
        <is>
          <t>FAV-004</t>
        </is>
      </c>
      <c r="B81" s="31" t="inlineStr">
        <is>
          <t>Sevimlilar</t>
        </is>
      </c>
      <c r="C81" s="31" t="inlineStr">
        <is>
          <t>Sevimlilar</t>
        </is>
      </c>
      <c r="D81" s="32" t="inlineStr">
        <is>
          <t>Chiqib-kirgandan keyin sevimlilar saqlanadi</t>
        </is>
      </c>
      <c r="E81" s="33" t="inlineStr">
        <is>
          <t>P3</t>
        </is>
      </c>
      <c r="F81" s="33" t="inlineStr">
        <is>
          <t>Functional</t>
        </is>
      </c>
      <c r="G81" s="31" t="inlineStr">
        <is>
          <t>Foydalanuvchi Usta sifatida tizimga kirgan; sevimlilarda mahsulot bor</t>
        </is>
      </c>
      <c r="H81" s="31" t="inlineStr">
        <is>
          <t>1. Tizimdan chiqish
2. Qayta kirish
3. «Sevimlilar»ni ochish</t>
        </is>
      </c>
      <c r="I81" s="31" t="inlineStr"/>
      <c r="J81" s="31" t="inlineStr">
        <is>
          <t>Mahsulot hamon sevimlilarda (serverda saqlanadi)</t>
        </is>
      </c>
      <c r="K81" s="31" t="inlineStr"/>
      <c r="L81" s="33" t="inlineStr">
        <is>
          <t>Ha</t>
        </is>
      </c>
      <c r="M81" s="31" t="inlineStr"/>
      <c r="N81" s="33" t="inlineStr">
        <is>
          <t>Avtomatlashtirilmagan</t>
        </is>
      </c>
      <c r="O81" s="31" t="inlineStr"/>
      <c r="P81" s="33" t="inlineStr">
        <is>
          <t>Bajarilmagan</t>
        </is>
      </c>
      <c r="Q81" s="31" t="inlineStr"/>
    </row>
    <row r="82" ht="48" customHeight="1">
      <c r="A82" s="30" t="inlineStr">
        <is>
          <t>FAV-005</t>
        </is>
      </c>
      <c r="B82" s="31" t="inlineStr">
        <is>
          <t>Sevimlilar</t>
        </is>
      </c>
      <c r="C82" s="31" t="inlineStr">
        <is>
          <t>Sevimlilar</t>
        </is>
      </c>
      <c r="D82" s="32" t="inlineStr">
        <is>
          <t>Sevimlilardan savatga qo'shish</t>
        </is>
      </c>
      <c r="E82" s="33" t="inlineStr">
        <is>
          <t>P3</t>
        </is>
      </c>
      <c r="F82" s="33" t="inlineStr">
        <is>
          <t>Functional</t>
        </is>
      </c>
      <c r="G82" s="31" t="inlineStr">
        <is>
          <t>Foydalanuvchi Usta sifatida tizimga kirgan; sevimlilarda mahsulot bor</t>
        </is>
      </c>
      <c r="H82" s="31" t="inlineStr">
        <is>
          <t>1. Sevimlilardagi kartochkada savat tugmasini bosish</t>
        </is>
      </c>
      <c r="I82" s="31" t="inlineStr"/>
      <c r="J82" s="31" t="inlineStr">
        <is>
          <t>Mahsulot savatga qo'shildi, nishon yangilandi</t>
        </is>
      </c>
      <c r="K82" s="31" t="inlineStr"/>
      <c r="L82" s="33" t="inlineStr">
        <is>
          <t>Ha</t>
        </is>
      </c>
      <c r="M82" s="31" t="inlineStr"/>
      <c r="N82" s="33" t="inlineStr">
        <is>
          <t>Avtomatlashtirilmagan</t>
        </is>
      </c>
      <c r="O82" s="31" t="inlineStr"/>
      <c r="P82" s="33" t="inlineStr">
        <is>
          <t>Bajarilmagan</t>
        </is>
      </c>
      <c r="Q82" s="31" t="inlineStr"/>
    </row>
    <row r="83" ht="48" customHeight="1">
      <c r="A83" s="26" t="inlineStr">
        <is>
          <t>CART-001</t>
        </is>
      </c>
      <c r="B83" s="27" t="inlineStr">
        <is>
          <t>Savat</t>
        </is>
      </c>
      <c r="C83" s="27" t="inlineStr">
        <is>
          <t>Qo'shish</t>
        </is>
      </c>
      <c r="D83" s="28" t="inlineStr">
        <is>
          <t>Kartochkadan qo'shish: stepper va nishon</t>
        </is>
      </c>
      <c r="E83" s="29" t="inlineStr">
        <is>
          <t>P1</t>
        </is>
      </c>
      <c r="F83" s="29" t="inlineStr">
        <is>
          <t>Smoke</t>
        </is>
      </c>
      <c r="G83" s="27" t="inlineStr">
        <is>
          <t>Foydalanuvchi Usta sifatida tizimga kirgan; savat bo'sh</t>
        </is>
      </c>
      <c r="H83" s="27" t="inlineStr">
        <is>
          <t>1. Bosh sahifada mahsulotning savat tugmasini bosish</t>
        </is>
      </c>
      <c r="I83" s="27" t="inlineStr"/>
      <c r="J83" s="27" t="inlineStr">
        <is>
          <t>Kartochkada 1 bilan stepper paydo bo'ldi, savat nishoni = 1, «Mahsulot savatga qo'shildi» xabari</t>
        </is>
      </c>
      <c r="K83" s="27" t="inlineStr"/>
      <c r="L83" s="29" t="inlineStr">
        <is>
          <t>Ha</t>
        </is>
      </c>
      <c r="M83" s="27" t="inlineStr"/>
      <c r="N83" s="29" t="inlineStr">
        <is>
          <t>Avtomatlashtirilgan</t>
        </is>
      </c>
      <c r="O83" s="27" t="inlineStr">
        <is>
          <t>storefront/cart/CartTest#addingProductShowsStepperOnCardAndUpdatesCartBadge</t>
        </is>
      </c>
      <c r="P83" s="29" t="inlineStr">
        <is>
          <t>Bajarilmagan</t>
        </is>
      </c>
      <c r="Q83" s="27" t="inlineStr"/>
    </row>
    <row r="84" ht="48" customHeight="1">
      <c r="A84" s="26" t="inlineStr">
        <is>
          <t>CART-002</t>
        </is>
      </c>
      <c r="B84" s="27" t="inlineStr">
        <is>
          <t>Savat</t>
        </is>
      </c>
      <c r="C84" s="27" t="inlineStr">
        <is>
          <t>Qo'shish</t>
        </is>
      </c>
      <c r="D84" s="28" t="inlineStr">
        <is>
          <t>Qo'shilgan mahsulot savatda to'g'ri miqdor bilan ko'rinadi</t>
        </is>
      </c>
      <c r="E84" s="29" t="inlineStr">
        <is>
          <t>P1</t>
        </is>
      </c>
      <c r="F84" s="29" t="inlineStr">
        <is>
          <t>Smoke</t>
        </is>
      </c>
      <c r="G84" s="27" t="inlineStr">
        <is>
          <t>Foydalanuvchi Usta sifatida tizimga kirgan; savat bo'sh</t>
        </is>
      </c>
      <c r="H84" s="27" t="inlineStr">
        <is>
          <t>1. Mahsulot qo'shish
2. Savatni ochish</t>
        </is>
      </c>
      <c r="I84" s="27" t="inlineStr"/>
      <c r="J84" s="27" t="inlineStr">
        <is>
          <t>Mahsulot savatda, miqdori 1</t>
        </is>
      </c>
      <c r="K84" s="27" t="inlineStr"/>
      <c r="L84" s="29" t="inlineStr">
        <is>
          <t>Ha</t>
        </is>
      </c>
      <c r="M84" s="27" t="inlineStr"/>
      <c r="N84" s="29" t="inlineStr">
        <is>
          <t>Avtomatlashtirilgan</t>
        </is>
      </c>
      <c r="O84" s="27" t="inlineStr">
        <is>
          <t>storefront/cart/CartTest#addedProductAppearsInCartPageWithCorrectQuantity</t>
        </is>
      </c>
      <c r="P84" s="29" t="inlineStr">
        <is>
          <t>Bajarilmagan</t>
        </is>
      </c>
      <c r="Q84" s="27" t="inlineStr"/>
    </row>
    <row r="85" ht="48" customHeight="1">
      <c r="A85" s="26" t="inlineStr">
        <is>
          <t>CART-003</t>
        </is>
      </c>
      <c r="B85" s="27" t="inlineStr">
        <is>
          <t>Savat</t>
        </is>
      </c>
      <c r="C85" s="27" t="inlineStr">
        <is>
          <t>Miqdor</t>
        </is>
      </c>
      <c r="D85" s="28" t="inlineStr">
        <is>
          <t>Savatda miqdorni oshirish</t>
        </is>
      </c>
      <c r="E85" s="29" t="inlineStr">
        <is>
          <t>P1</t>
        </is>
      </c>
      <c r="F85" s="29" t="inlineStr">
        <is>
          <t>Functional</t>
        </is>
      </c>
      <c r="G85" s="27" t="inlineStr">
        <is>
          <t>Foydalanuvchi Usta sifatida tizimga kirgan; savatda 1 ta mahsulot</t>
        </is>
      </c>
      <c r="H85" s="27" t="inlineStr">
        <is>
          <t>1. Mahsulot qatorida «+»ni bosish</t>
        </is>
      </c>
      <c r="I85" s="27" t="inlineStr"/>
      <c r="J85" s="27" t="inlineStr">
        <is>
          <t>Miqdor 2, «Mahsulotlar soni» va summalar qayta hisoblandi</t>
        </is>
      </c>
      <c r="K85" s="27" t="inlineStr"/>
      <c r="L85" s="29" t="inlineStr">
        <is>
          <t>Ha</t>
        </is>
      </c>
      <c r="M85" s="27" t="inlineStr"/>
      <c r="N85" s="29" t="inlineStr">
        <is>
          <t>Avtomatlashtirilgan</t>
        </is>
      </c>
      <c r="O85" s="27" t="inlineStr">
        <is>
          <t>storefront/cart/CartTest#increasingQuantityInCartUpdatesItemsCount</t>
        </is>
      </c>
      <c r="P85" s="29" t="inlineStr">
        <is>
          <t>Bajarilmagan</t>
        </is>
      </c>
      <c r="Q85" s="27" t="inlineStr"/>
    </row>
    <row r="86" ht="48" customHeight="1">
      <c r="A86" s="26" t="inlineStr">
        <is>
          <t>CART-004</t>
        </is>
      </c>
      <c r="B86" s="27" t="inlineStr">
        <is>
          <t>Savat</t>
        </is>
      </c>
      <c r="C86" s="27" t="inlineStr">
        <is>
          <t>Miqdor</t>
        </is>
      </c>
      <c r="D86" s="28" t="inlineStr">
        <is>
          <t>Miqdorni nolgacha kamaytirish mahsulotni o'chiradi</t>
        </is>
      </c>
      <c r="E86" s="29" t="inlineStr">
        <is>
          <t>P2</t>
        </is>
      </c>
      <c r="F86" s="29" t="inlineStr">
        <is>
          <t>Functional</t>
        </is>
      </c>
      <c r="G86" s="27" t="inlineStr">
        <is>
          <t>Foydalanuvchi Usta sifatida tizimga kirgan; savatda miqdori 1 ta mahsulot</t>
        </is>
      </c>
      <c r="H86" s="27" t="inlineStr">
        <is>
          <t>1. «−»ni bosish</t>
        </is>
      </c>
      <c r="I86" s="27" t="inlineStr"/>
      <c r="J86" s="27" t="inlineStr">
        <is>
          <t>Mahsulot o'chirildi, savat bo'sh («Savat hozircha bo'sh»)</t>
        </is>
      </c>
      <c r="K86" s="27" t="inlineStr"/>
      <c r="L86" s="29" t="inlineStr">
        <is>
          <t>Ha</t>
        </is>
      </c>
      <c r="M86" s="27" t="inlineStr"/>
      <c r="N86" s="29" t="inlineStr">
        <is>
          <t>Avtomatlashtirilgan</t>
        </is>
      </c>
      <c r="O86" s="27" t="inlineStr">
        <is>
          <t>storefront/cart/CartTest#decreasingQuantityToZeroRemovesItemAndEmptiesCart</t>
        </is>
      </c>
      <c r="P86" s="29" t="inlineStr">
        <is>
          <t>Bajarilmagan</t>
        </is>
      </c>
      <c r="Q86" s="27" t="inlineStr"/>
    </row>
    <row r="87" ht="48" customHeight="1">
      <c r="A87" s="26" t="inlineStr">
        <is>
          <t>CART-005</t>
        </is>
      </c>
      <c r="B87" s="27" t="inlineStr">
        <is>
          <t>Savat</t>
        </is>
      </c>
      <c r="C87" s="27" t="inlineStr">
        <is>
          <t>O'chirish</t>
        </is>
      </c>
      <c r="D87" s="28" t="inlineStr">
        <is>
          <t>Bitta mahsulotni o'chirish boshqalariga ta'sir qilmaydi</t>
        </is>
      </c>
      <c r="E87" s="29" t="inlineStr">
        <is>
          <t>P2</t>
        </is>
      </c>
      <c r="F87" s="29" t="inlineStr">
        <is>
          <t>Functional</t>
        </is>
      </c>
      <c r="G87" s="27" t="inlineStr">
        <is>
          <t>Foydalanuvchi Usta sifatida tizimga kirgan; savatda mavjud 2+ ta mahsulot bor</t>
        </is>
      </c>
      <c r="H87" s="27" t="inlineStr">
        <is>
          <t>1. Bitta mahsulotni belgilash
2. «O'chirish»ni bosish</t>
        </is>
      </c>
      <c r="I87" s="27" t="inlineStr"/>
      <c r="J87" s="27" t="inlineStr">
        <is>
          <t>Faqat belgilangan mahsulot o'chirildi, qolganlari joyida</t>
        </is>
      </c>
      <c r="K87" s="27" t="inlineStr"/>
      <c r="L87" s="29" t="inlineStr">
        <is>
          <t>Ha</t>
        </is>
      </c>
      <c r="M87" s="27" t="inlineStr"/>
      <c r="N87" s="29" t="inlineStr">
        <is>
          <t>Avtomatlashtirilgan</t>
        </is>
      </c>
      <c r="O87" s="27" t="inlineStr">
        <is>
          <t>storefront/cart/CartTest#removingOneItemKeepsOthersInCart</t>
        </is>
      </c>
      <c r="P87" s="29" t="inlineStr">
        <is>
          <t>Bajarilmagan</t>
        </is>
      </c>
      <c r="Q87" s="27" t="inlineStr"/>
    </row>
    <row r="88" ht="48" customHeight="1">
      <c r="A88" s="26" t="inlineStr">
        <is>
          <t>CART-006</t>
        </is>
      </c>
      <c r="B88" s="27" t="inlineStr">
        <is>
          <t>Savat</t>
        </is>
      </c>
      <c r="C88" s="27" t="inlineStr">
        <is>
          <t>Hisob</t>
        </is>
      </c>
      <c r="D88" s="28" t="inlineStr">
        <is>
          <t>Savat yakunlarining to'g'ri hisoblanishi</t>
        </is>
      </c>
      <c r="E88" s="29" t="inlineStr">
        <is>
          <t>P1</t>
        </is>
      </c>
      <c r="F88" s="29" t="inlineStr">
        <is>
          <t>Functional</t>
        </is>
      </c>
      <c r="G88" s="27" t="inlineStr">
        <is>
          <t>Foydalanuvchi Usta sifatida tizimga kirgan; savatda mavjud 2+ ta mahsulot bor</t>
        </is>
      </c>
      <c r="H88" s="27" t="inlineStr">
        <is>
          <t>1. Savatni ochish
2. Yakunlar blokini tekshirish</t>
        </is>
      </c>
      <c r="I88" s="27" t="inlineStr"/>
      <c r="J88" s="27" t="inlineStr">
        <is>
          <t>«Mahsulotlar soni» = miqdorlar yig'indisi; «Mahsulotlar narxi» = Σ(narx × miqdor); «Jami» = Mahsulotlar narxi − Chegirma</t>
        </is>
      </c>
      <c r="K88" s="27" t="inlineStr"/>
      <c r="L88" s="29" t="inlineStr">
        <is>
          <t>Ha</t>
        </is>
      </c>
      <c r="M88" s="27" t="inlineStr"/>
      <c r="N88" s="29" t="inlineStr">
        <is>
          <t>Avtomatlashtirilmagan</t>
        </is>
      </c>
      <c r="O88" s="27" t="inlineStr"/>
      <c r="P88" s="29" t="inlineStr">
        <is>
          <t>Bajarilmagan</t>
        </is>
      </c>
      <c r="Q88" s="27" t="inlineStr"/>
    </row>
    <row r="89" ht="48" customHeight="1">
      <c r="A89" s="26" t="inlineStr">
        <is>
          <t>CART-007</t>
        </is>
      </c>
      <c r="B89" s="27" t="inlineStr">
        <is>
          <t>Savat</t>
        </is>
      </c>
      <c r="C89" s="27" t="inlineStr">
        <is>
          <t>Tanlash</t>
        </is>
      </c>
      <c r="D89" s="28" t="inlineStr">
        <is>
          <t>Mahsulot belgisini olib tashlash yakunni qayta hisoblaydi</t>
        </is>
      </c>
      <c r="E89" s="29" t="inlineStr">
        <is>
          <t>P1</t>
        </is>
      </c>
      <c r="F89" s="29" t="inlineStr">
        <is>
          <t>Functional</t>
        </is>
      </c>
      <c r="G89" s="27" t="inlineStr">
        <is>
          <t>Foydalanuvchi Usta sifatida tizimga kirgan; savatda mavjud 2+ ta mahsulot bor</t>
        </is>
      </c>
      <c r="H89" s="27" t="inlineStr">
        <is>
          <t>1. Bitta mahsulotning belgisini olib tashlash</t>
        </is>
      </c>
      <c r="I89" s="27" t="inlineStr"/>
      <c r="J89" s="27" t="inlineStr">
        <is>
          <t>Yakun faqat belgilangan mahsulotlar bo'yicha; rasmiylashtirishga faqat ular o'tadi</t>
        </is>
      </c>
      <c r="K89" s="27" t="inlineStr"/>
      <c r="L89" s="29" t="inlineStr">
        <is>
          <t>Ha</t>
        </is>
      </c>
      <c r="M89" s="27" t="inlineStr"/>
      <c r="N89" s="29" t="inlineStr">
        <is>
          <t>Avtomatlashtirilmagan</t>
        </is>
      </c>
      <c r="O89" s="27" t="inlineStr"/>
      <c r="P89" s="29" t="inlineStr">
        <is>
          <t>Bajarilmagan</t>
        </is>
      </c>
      <c r="Q89" s="27" t="inlineStr"/>
    </row>
    <row r="90" ht="48" customHeight="1">
      <c r="A90" s="26" t="inlineStr">
        <is>
          <t>CART-008</t>
        </is>
      </c>
      <c r="B90" s="27" t="inlineStr">
        <is>
          <t>Savat</t>
        </is>
      </c>
      <c r="C90" s="27" t="inlineStr">
        <is>
          <t>Tanlash</t>
        </is>
      </c>
      <c r="D90" s="28" t="inlineStr">
        <is>
          <t>«Hammasini tanlash»</t>
        </is>
      </c>
      <c r="E90" s="29" t="inlineStr">
        <is>
          <t>P2</t>
        </is>
      </c>
      <c r="F90" s="29" t="inlineStr">
        <is>
          <t>Functional</t>
        </is>
      </c>
      <c r="G90" s="27" t="inlineStr">
        <is>
          <t>Foydalanuvchi Usta sifatida tizimga kirgan; savatda mavjud 2+ ta mahsulot bor</t>
        </is>
      </c>
      <c r="H90" s="27" t="inlineStr">
        <is>
          <t>1. «Hammasini tanlash» belgisini olib tashlash
2. Yana qo'yish</t>
        </is>
      </c>
      <c r="I90" s="27" t="inlineStr"/>
      <c r="J90" s="27" t="inlineStr">
        <is>
          <t>Barcha belgilar olinadi / qo'yiladi; yakun qayta hisoblanadi</t>
        </is>
      </c>
      <c r="K90" s="27" t="inlineStr"/>
      <c r="L90" s="29" t="inlineStr">
        <is>
          <t>Ha</t>
        </is>
      </c>
      <c r="M90" s="27" t="inlineStr"/>
      <c r="N90" s="29" t="inlineStr">
        <is>
          <t>Avtomatlashtirilmagan</t>
        </is>
      </c>
      <c r="O90" s="27" t="inlineStr"/>
      <c r="P90" s="29" t="inlineStr">
        <is>
          <t>Bajarilmagan</t>
        </is>
      </c>
      <c r="Q90" s="27" t="inlineStr"/>
    </row>
    <row r="91" ht="48" customHeight="1">
      <c r="A91" s="26" t="inlineStr">
        <is>
          <t>CART-009</t>
        </is>
      </c>
      <c r="B91" s="27" t="inlineStr">
        <is>
          <t>Savat</t>
        </is>
      </c>
      <c r="C91" s="27" t="inlineStr">
        <is>
          <t>O'chirish</t>
        </is>
      </c>
      <c r="D91" s="28" t="inlineStr">
        <is>
          <t>Tanlangan mahsulotlarni ommaviy o'chirish</t>
        </is>
      </c>
      <c r="E91" s="29" t="inlineStr">
        <is>
          <t>P2</t>
        </is>
      </c>
      <c r="F91" s="29" t="inlineStr">
        <is>
          <t>Functional</t>
        </is>
      </c>
      <c r="G91" s="27" t="inlineStr">
        <is>
          <t>Foydalanuvchi Usta sifatida tizimga kirgan; savatda mavjud 2+ ta mahsulot bor</t>
        </is>
      </c>
      <c r="H91" s="27" t="inlineStr">
        <is>
          <t>1. «Hammasini tanlash»ni belgilash
2. «O'chirish»ni bosish</t>
        </is>
      </c>
      <c r="I91" s="27" t="inlineStr"/>
      <c r="J91" s="27" t="inlineStr">
        <is>
          <t>Savat bo'sh, sarlavhadagi nishon yo'qoldi/0</t>
        </is>
      </c>
      <c r="K91" s="27" t="inlineStr"/>
      <c r="L91" s="29" t="inlineStr">
        <is>
          <t>Ha</t>
        </is>
      </c>
      <c r="M91" s="27" t="inlineStr"/>
      <c r="N91" s="29" t="inlineStr">
        <is>
          <t>Qisman</t>
        </is>
      </c>
      <c r="O91" s="27" t="inlineStr">
        <is>
          <t>storefront/cart/CartTest#removingOneItemKeepsOthersInCart (bittasini o'chirish)</t>
        </is>
      </c>
      <c r="P91" s="29" t="inlineStr">
        <is>
          <t>Bajarilmagan</t>
        </is>
      </c>
      <c r="Q91" s="27" t="inlineStr"/>
    </row>
    <row r="92" ht="48" customHeight="1">
      <c r="A92" s="26" t="inlineStr">
        <is>
          <t>CART-010</t>
        </is>
      </c>
      <c r="B92" s="27" t="inlineStr">
        <is>
          <t>Savat</t>
        </is>
      </c>
      <c r="C92" s="27" t="inlineStr">
        <is>
          <t>Miqdor</t>
        </is>
      </c>
      <c r="D92" s="28" t="inlineStr">
        <is>
          <t>Qoldiqdan ko'p miqdorni qo'lda kiritish</t>
        </is>
      </c>
      <c r="E92" s="29" t="inlineStr">
        <is>
          <t>P1</t>
        </is>
      </c>
      <c r="F92" s="29" t="inlineStr">
        <is>
          <t>Negative</t>
        </is>
      </c>
      <c r="G92" s="27" t="inlineStr">
        <is>
          <t>Foydalanuvchi Usta sifatida tizimga kirgan; savatda qoldig'i N bo'lgan mahsulot</t>
        </is>
      </c>
      <c r="H92" s="27" t="inlineStr">
        <is>
          <t>1. Miqdor maydoniga N+10 kiritish</t>
        </is>
      </c>
      <c r="I92" s="27" t="inlineStr"/>
      <c r="J92" s="27" t="inlineStr">
        <is>
          <t>Miqdor qoldiq bilan cheklanadi yoki ogohlantirish chiqadi; yakun mavjuddan oshmaydi</t>
        </is>
      </c>
      <c r="K92" s="27" t="inlineStr"/>
      <c r="L92" s="29" t="inlineStr">
        <is>
          <t>Ha</t>
        </is>
      </c>
      <c r="M92" s="27" t="inlineStr"/>
      <c r="N92" s="29" t="inlineStr">
        <is>
          <t>Avtomatlashtirilmagan</t>
        </is>
      </c>
      <c r="O92" s="27" t="inlineStr"/>
      <c r="P92" s="29" t="inlineStr">
        <is>
          <t>Bajarilmagan</t>
        </is>
      </c>
      <c r="Q92" s="27" t="inlineStr"/>
    </row>
    <row r="93" ht="48" customHeight="1">
      <c r="A93" s="26" t="inlineStr">
        <is>
          <t>CART-011</t>
        </is>
      </c>
      <c r="B93" s="27" t="inlineStr">
        <is>
          <t>Savat</t>
        </is>
      </c>
      <c r="C93" s="27" t="inlineStr">
        <is>
          <t>Saqlanish</t>
        </is>
      </c>
      <c r="D93" s="28" t="inlineStr">
        <is>
          <t>Savat sahifa yangilanganda va qayta kirganda saqlanadi</t>
        </is>
      </c>
      <c r="E93" s="29" t="inlineStr">
        <is>
          <t>P1</t>
        </is>
      </c>
      <c r="F93" s="29" t="inlineStr">
        <is>
          <t>Functional</t>
        </is>
      </c>
      <c r="G93" s="27" t="inlineStr">
        <is>
          <t>Foydalanuvchi Usta sifatida tizimga kirgan; savatda mavjud 2+ ta mahsulot bor</t>
        </is>
      </c>
      <c r="H93" s="27" t="inlineStr">
        <is>
          <t>1. Sahifani yangilash
2. Chiqib, qayta kirish</t>
        </is>
      </c>
      <c r="I93" s="27" t="inlineStr"/>
      <c r="J93" s="27" t="inlineStr">
        <is>
          <t>Mahsulotlar tarkibi va miqdori o'zgarmadi</t>
        </is>
      </c>
      <c r="K93" s="27" t="inlineStr"/>
      <c r="L93" s="29" t="inlineStr">
        <is>
          <t>Ha</t>
        </is>
      </c>
      <c r="M93" s="27" t="inlineStr"/>
      <c r="N93" s="29" t="inlineStr">
        <is>
          <t>Avtomatlashtirilmagan</t>
        </is>
      </c>
      <c r="O93" s="27" t="inlineStr"/>
      <c r="P93" s="29" t="inlineStr">
        <is>
          <t>Bajarilmagan</t>
        </is>
      </c>
      <c r="Q93" s="27" t="inlineStr"/>
    </row>
    <row r="94" ht="48" customHeight="1">
      <c r="A94" s="26" t="inlineStr">
        <is>
          <t>CART-012</t>
        </is>
      </c>
      <c r="B94" s="27" t="inlineStr">
        <is>
          <t>Savat</t>
        </is>
      </c>
      <c r="C94" s="27" t="inlineStr">
        <is>
          <t>Ko'rinish</t>
        </is>
      </c>
      <c r="D94" s="28" t="inlineStr">
        <is>
          <t>Savatdagi mahsulot qatori</t>
        </is>
      </c>
      <c r="E94" s="29" t="inlineStr">
        <is>
          <t>P3</t>
        </is>
      </c>
      <c r="F94" s="29" t="inlineStr">
        <is>
          <t>UI</t>
        </is>
      </c>
      <c r="G94" s="27" t="inlineStr">
        <is>
          <t>Foydalanuvchi Usta sifatida tizimga kirgan; savatda mavjud 2+ ta mahsulot bor</t>
        </is>
      </c>
      <c r="H94" s="27" t="inlineStr">
        <is>
          <t>1. Mahsulot qatorini ko'rib chiqish</t>
        </is>
      </c>
      <c r="I94" s="27" t="inlineStr"/>
      <c r="J94" s="27" t="inlineStr">
        <is>
          <t>Rasm, ID bilan nom, do'kon/ombor va qoldiq, narx, miqdor stepperi, belgilash katagi</t>
        </is>
      </c>
      <c r="K94" s="27" t="inlineStr"/>
      <c r="L94" s="29" t="inlineStr">
        <is>
          <t>Ha</t>
        </is>
      </c>
      <c r="M94" s="27" t="inlineStr"/>
      <c r="N94" s="29" t="inlineStr">
        <is>
          <t>Avtomatlashtirilmagan</t>
        </is>
      </c>
      <c r="O94" s="27" t="inlineStr"/>
      <c r="P94" s="29" t="inlineStr">
        <is>
          <t>Bajarilmagan</t>
        </is>
      </c>
      <c r="Q94" s="27" t="inlineStr"/>
    </row>
    <row r="95" ht="48" customHeight="1">
      <c r="A95" s="26" t="inlineStr">
        <is>
          <t>CART-013</t>
        </is>
      </c>
      <c r="B95" s="27" t="inlineStr">
        <is>
          <t>Savat</t>
        </is>
      </c>
      <c r="C95" s="27" t="inlineStr">
        <is>
          <t>Rasmiylashtirish</t>
        </is>
      </c>
      <c r="D95" s="28" t="inlineStr">
        <is>
          <t>Tanlangan mahsulotsiz «Rasmiylashtirish» tugmasi</t>
        </is>
      </c>
      <c r="E95" s="29" t="inlineStr">
        <is>
          <t>P2</t>
        </is>
      </c>
      <c r="F95" s="29" t="inlineStr">
        <is>
          <t>Negative</t>
        </is>
      </c>
      <c r="G95" s="27" t="inlineStr">
        <is>
          <t>Foydalanuvchi Usta sifatida tizimga kirgan; savatda mavjud 2+ ta mahsulot bor</t>
        </is>
      </c>
      <c r="H95" s="27" t="inlineStr">
        <is>
          <t>1. Barcha belgilarni olib tashlash
2. «Rasmiylashtirish»ni bosish</t>
        </is>
      </c>
      <c r="I95" s="27" t="inlineStr"/>
      <c r="J95" s="27" t="inlineStr">
        <is>
          <t>Tugma faol emas yoki «Mahsulotlarni tanlang» xabari ko'rsatiladi</t>
        </is>
      </c>
      <c r="K95" s="27" t="inlineStr"/>
      <c r="L95" s="29" t="inlineStr">
        <is>
          <t>Ha</t>
        </is>
      </c>
      <c r="M95" s="27" t="inlineStr"/>
      <c r="N95" s="29" t="inlineStr">
        <is>
          <t>Avtomatlashtirilmagan</t>
        </is>
      </c>
      <c r="O95" s="27" t="inlineStr"/>
      <c r="P95" s="29" t="inlineStr">
        <is>
          <t>Bajarilmagan</t>
        </is>
      </c>
      <c r="Q95" s="27" t="inlineStr"/>
    </row>
    <row r="96" ht="48" customHeight="1">
      <c r="A96" s="26" t="inlineStr">
        <is>
          <t>CART-014</t>
        </is>
      </c>
      <c r="B96" s="27" t="inlineStr">
        <is>
          <t>Savat</t>
        </is>
      </c>
      <c r="C96" s="27" t="inlineStr">
        <is>
          <t>Narx o'zgarishi</t>
        </is>
      </c>
      <c r="D96" s="28" t="inlineStr">
        <is>
          <t>Savatga qo'shilgandan keyin mahsulot narxi/mavjudligi o'zgarishi</t>
        </is>
      </c>
      <c r="E96" s="29" t="inlineStr">
        <is>
          <t>P2</t>
        </is>
      </c>
      <c r="F96" s="29" t="inlineStr">
        <is>
          <t>Functional</t>
        </is>
      </c>
      <c r="G96" s="27" t="inlineStr">
        <is>
          <t>Foydalanuvchi Usta sifatida tizimga kirgan; mahsulot savatda; admin panelga kirish bor</t>
        </is>
      </c>
      <c r="H96" s="27" t="inlineStr">
        <is>
          <t>1. Admin panelda mahsulot narxini o'zgartirish/qoldig'ini nolga tushirish
2. Savatni yangilash</t>
        </is>
      </c>
      <c r="I96" s="27" t="inlineStr"/>
      <c r="J96" s="27" t="inlineStr">
        <is>
          <t>Joriy narx ko'rsatiladi; mavjud bo'lmagan mahsulot belgilanadi va uni rasmiylashtirib bo'lmaydi</t>
        </is>
      </c>
      <c r="K96" s="27" t="inlineStr"/>
      <c r="L96" s="29" t="inlineStr">
        <is>
          <t>Qisman</t>
        </is>
      </c>
      <c r="M96" s="27" t="inlineStr">
        <is>
          <t>Admin panelda qadam kerak (API) — ma'lumot tayyorlash murakkab</t>
        </is>
      </c>
      <c r="N96" s="29" t="inlineStr">
        <is>
          <t>Avtomatlashtirilmagan</t>
        </is>
      </c>
      <c r="O96" s="27" t="inlineStr"/>
      <c r="P96" s="29" t="inlineStr">
        <is>
          <t>Bajarilmagan</t>
        </is>
      </c>
      <c r="Q96" s="27" t="inlineStr"/>
    </row>
    <row r="97" ht="62" customHeight="1">
      <c r="A97" s="30" t="inlineStr">
        <is>
          <t>CHK-001</t>
        </is>
      </c>
      <c r="B97" s="31" t="inlineStr">
        <is>
          <t>Buyurtmani rasmiylashtirish</t>
        </is>
      </c>
      <c r="C97" s="31" t="inlineStr">
        <is>
          <t>Ochish</t>
        </is>
      </c>
      <c r="D97" s="32" t="inlineStr">
        <is>
          <t>Rasmiylashtirishga o'tish</t>
        </is>
      </c>
      <c r="E97" s="33" t="inlineStr">
        <is>
          <t>P1</t>
        </is>
      </c>
      <c r="F97" s="33" t="inlineStr">
        <is>
          <t>Smoke</t>
        </is>
      </c>
      <c r="G97" s="31" t="inlineStr">
        <is>
          <t>Foydalanuvchi Usta sifatida tizimga kirgan; savatda mavjud 2+ ta mahsulot bor</t>
        </is>
      </c>
      <c r="H97" s="31" t="inlineStr">
        <is>
          <t>1. Savatda «Rasmiylashtirish»ni bosish
2. Yetkazish muddati oynasida («Haridni davom ettirasizmi?») «Davom ettirish»ni bosish</t>
        </is>
      </c>
      <c r="I97" s="31" t="inlineStr"/>
      <c r="J97" s="31" t="inlineStr">
        <is>
          <t>/uz/confirmation ochildi: ustaning F.I.Sh. va telefoni, to'lov turi, yetkazib berish manzili/turi, «Buyurtma uchun izoh (ixtiyoriy)», mahsulotlar, yakunlar</t>
        </is>
      </c>
      <c r="K97" s="31" t="inlineStr"/>
      <c r="L97" s="33" t="inlineStr">
        <is>
          <t>Ha</t>
        </is>
      </c>
      <c r="M97" s="31" t="inlineStr"/>
      <c r="N97" s="33" t="inlineStr">
        <is>
          <t>Avtomatlashtirilmagan</t>
        </is>
      </c>
      <c r="O97" s="31" t="inlineStr"/>
      <c r="P97" s="33" t="inlineStr">
        <is>
          <t>Bajarilmagan</t>
        </is>
      </c>
      <c r="Q97" s="31" t="inlineStr"/>
    </row>
    <row r="98" ht="90" customHeight="1">
      <c r="A98" s="30" t="inlineStr">
        <is>
          <t>CHK-002</t>
        </is>
      </c>
      <c r="B98" s="31" t="inlineStr">
        <is>
          <t>Buyurtmani rasmiylashtirish</t>
        </is>
      </c>
      <c r="C98" s="31" t="inlineStr">
        <is>
          <t>To'lov</t>
        </is>
      </c>
      <c r="D98" s="32" t="inlineStr">
        <is>
          <t>To'lov turi plitkalari va oldindan tanlov</t>
        </is>
      </c>
      <c r="E98" s="33" t="inlineStr">
        <is>
          <t>P1</t>
        </is>
      </c>
      <c r="F98" s="33" t="inlineStr">
        <is>
          <t>Functional</t>
        </is>
      </c>
      <c r="G98" s="31" t="inlineStr">
        <is>
          <t>Foydalanuvchi Usta sifatida tizimga kirgan; savatda mavjud 2+ ta mahsulot bor</t>
        </is>
      </c>
      <c r="H98" s="31" t="inlineStr">
        <is>
          <t>1. Rasmiylashtirishni ochish
2. «To'lov turi» plitkalarini ko'rib chiqish</t>
        </is>
      </c>
      <c r="I98" s="31" t="inlineStr"/>
      <c r="J98" s="31" t="inlineStr">
        <is>
          <t>Plitkalar: Naqd, Ball (ball balansi bilan), Hamyon (hamyon balansi bilan) — faqat hamyon ochiq bo'lsa. Oxirgi ishlatilgan usul oldindan tanlangan (yangi foydalanuvchida — Naqd). Har bir plitkaning 3 ta farqlanadigan holati: tanlangan / mavjud / mavjud emas (sababi bilan)</t>
        </is>
      </c>
      <c r="K98" s="31" t="inlineStr">
        <is>
          <t>PRD Client Confirmation Page §7</t>
        </is>
      </c>
      <c r="L98" s="33" t="inlineStr">
        <is>
          <t>Ha</t>
        </is>
      </c>
      <c r="M98" s="31" t="inlineStr"/>
      <c r="N98" s="33" t="inlineStr">
        <is>
          <t>Avtomatlashtirilmagan</t>
        </is>
      </c>
      <c r="O98" s="31" t="inlineStr"/>
      <c r="P98" s="33" t="inlineStr">
        <is>
          <t>Bajarilmagan</t>
        </is>
      </c>
      <c r="Q98" s="31" t="inlineStr"/>
    </row>
    <row r="99" ht="76" customHeight="1">
      <c r="A99" s="30" t="inlineStr">
        <is>
          <t>CHK-003</t>
        </is>
      </c>
      <c r="B99" s="31" t="inlineStr">
        <is>
          <t>Buyurtmani rasmiylashtirish</t>
        </is>
      </c>
      <c r="C99" s="31" t="inlineStr">
        <is>
          <t>To'lov</t>
        </is>
      </c>
      <c r="D99" s="32" t="inlineStr">
        <is>
          <t>Ball buyurtma summasidan kam bo'lsa — Ball mavjud emas</t>
        </is>
      </c>
      <c r="E99" s="33" t="inlineStr">
        <is>
          <t>P2</t>
        </is>
      </c>
      <c r="F99" s="33" t="inlineStr">
        <is>
          <t>Negative</t>
        </is>
      </c>
      <c r="G99" s="31" t="inlineStr">
        <is>
          <t>Foydalanuvchi Usta sifatida tizimga kirgan; savatda mavjud 2+ ta mahsulot bor; ball buyurtma summasidan kam (test ustada 0)</t>
        </is>
      </c>
      <c r="H99" s="31" t="inlineStr">
        <is>
          <t>1. Rasmiylashtirishni ochish
2. «Ball»ni tanlashga urinish</t>
        </is>
      </c>
      <c r="I99" s="31" t="inlineStr"/>
      <c r="J99" s="31" t="inlineStr">
        <is>
          <t>«Ball» plitkasi faol emas, yonida qisqa sabab; ball bilan buyurtma berib bo'lmaydi. Ballar butun son, «so'm» va kasrsiz (hozir «0.00 Ball»)</t>
        </is>
      </c>
      <c r="K99" s="31" t="inlineStr">
        <is>
          <t>PRD Client Confirmation Page §7, §15</t>
        </is>
      </c>
      <c r="L99" s="33" t="inlineStr">
        <is>
          <t>Ha</t>
        </is>
      </c>
      <c r="M99" s="31" t="inlineStr"/>
      <c r="N99" s="33" t="inlineStr">
        <is>
          <t>Avtomatlashtirilmagan</t>
        </is>
      </c>
      <c r="O99" s="31" t="inlineStr"/>
      <c r="P99" s="33" t="inlineStr">
        <is>
          <t>Bajarilmagan</t>
        </is>
      </c>
      <c r="Q99" s="31" t="inlineStr"/>
    </row>
    <row r="100" ht="62" customHeight="1">
      <c r="A100" s="30" t="inlineStr">
        <is>
          <t>CHK-004</t>
        </is>
      </c>
      <c r="B100" s="31" t="inlineStr">
        <is>
          <t>Buyurtmani rasmiylashtirish</t>
        </is>
      </c>
      <c r="C100" s="31" t="inlineStr">
        <is>
          <t>To'lov</t>
        </is>
      </c>
      <c r="D100" s="32" t="inlineStr">
        <is>
          <t>Yetarli balansda ball bilan to'lash</t>
        </is>
      </c>
      <c r="E100" s="33" t="inlineStr">
        <is>
          <t>P2</t>
        </is>
      </c>
      <c r="F100" s="33" t="inlineStr">
        <is>
          <t>Functional</t>
        </is>
      </c>
      <c r="G100" s="31" t="inlineStr">
        <is>
          <t>Foydalanuvchi Usta sifatida tizimga kirgan; savatda mavjud 2+ ta mahsulot bor; ball ≥ buyurtma summasi</t>
        </is>
      </c>
      <c r="H100" s="31" t="inlineStr">
        <is>
          <t>1. «Ball»ni tanlash
2. Buyurtma berish</t>
        </is>
      </c>
      <c r="I100" s="31" t="inlineStr"/>
      <c r="J100" s="31" t="inlineStr">
        <is>
          <t>Buyurtma yaratildi, buyurtma summasicha ball yechildi, buyurtmadagi to'lov turi — «Ball»</t>
        </is>
      </c>
      <c r="K100" s="31" t="inlineStr"/>
      <c r="L100" s="33" t="inlineStr">
        <is>
          <t>Qisman</t>
        </is>
      </c>
      <c r="M100" s="31" t="inlineStr">
        <is>
          <t>Admin orqali ball qo'shish kerak</t>
        </is>
      </c>
      <c r="N100" s="33" t="inlineStr">
        <is>
          <t>Avtomatlashtirilmagan</t>
        </is>
      </c>
      <c r="O100" s="31" t="inlineStr"/>
      <c r="P100" s="33" t="inlineStr">
        <is>
          <t>Bajarilmagan</t>
        </is>
      </c>
      <c r="Q100" s="31" t="inlineStr"/>
    </row>
    <row r="101" ht="90" customHeight="1">
      <c r="A101" s="30" t="inlineStr">
        <is>
          <t>CHK-005</t>
        </is>
      </c>
      <c r="B101" s="31" t="inlineStr">
        <is>
          <t>Buyurtmani rasmiylashtirish</t>
        </is>
      </c>
      <c r="C101" s="31" t="inlineStr">
        <is>
          <t>Yetkazish</t>
        </is>
      </c>
      <c r="D101" s="32" t="inlineStr">
        <is>
          <t>Yetkazib berish turlari ro'yxati</t>
        </is>
      </c>
      <c r="E101" s="33" t="inlineStr">
        <is>
          <t>P2</t>
        </is>
      </c>
      <c r="F101" s="33" t="inlineStr">
        <is>
          <t>Functional</t>
        </is>
      </c>
      <c r="G101" s="31" t="inlineStr">
        <is>
          <t>Foydalanuvchi Usta sifatida tizimga kirgan; savatda mavjud 2+ ta mahsulot bor</t>
        </is>
      </c>
      <c r="H101" s="31" t="inlineStr">
        <is>
          <t>1. «Yetkazib berish turi *» ochiladigan ro'yxatini ochish</t>
        </is>
      </c>
      <c r="I101" s="31" t="inlineStr"/>
      <c r="J101" s="31" t="inlineStr">
        <is>
          <t>Mavjud: «Aros ofisidan 1 km gacha», «Aros ofisigacha», «BTS uyingizga eltib berish», «BTS ofisigacha». «Yandex orqali yetkazib berish» ko'rinadi, lekin faol emas (hozircha o'chirilgan). Tanlangan to'lovga bog'lanmagan usullar faol emas holda ko'rsatiladi</t>
        </is>
      </c>
      <c r="K101" s="31" t="inlineStr">
        <is>
          <t>PRD Client Confirmation Page §8; staging'da tekshirilgan 28.10.2026</t>
        </is>
      </c>
      <c r="L101" s="33" t="inlineStr">
        <is>
          <t>Ha</t>
        </is>
      </c>
      <c r="M101" s="31" t="inlineStr"/>
      <c r="N101" s="33" t="inlineStr">
        <is>
          <t>Avtomatlashtirilmagan</t>
        </is>
      </c>
      <c r="O101" s="31" t="inlineStr"/>
      <c r="P101" s="33" t="inlineStr">
        <is>
          <t>Bajarilmagan</t>
        </is>
      </c>
      <c r="Q101" s="31" t="inlineStr"/>
    </row>
    <row r="102" ht="62" customHeight="1">
      <c r="A102" s="30" t="inlineStr">
        <is>
          <t>CHK-006</t>
        </is>
      </c>
      <c r="B102" s="31" t="inlineStr">
        <is>
          <t>Buyurtmani rasmiylashtirish</t>
        </is>
      </c>
      <c r="C102" s="31" t="inlineStr">
        <is>
          <t>Yetkazish</t>
        </is>
      </c>
      <c r="D102" s="32" t="inlineStr">
        <is>
          <t>«Aros ofisigacha» olib ketish</t>
        </is>
      </c>
      <c r="E102" s="33" t="inlineStr">
        <is>
          <t>P1</t>
        </is>
      </c>
      <c r="F102" s="33" t="inlineStr">
        <is>
          <t>Functional</t>
        </is>
      </c>
      <c r="G102" s="31" t="inlineStr">
        <is>
          <t>Foydalanuvchi Usta sifatida tizimga kirgan; savatda mavjud 2+ ta mahsulot bor</t>
        </is>
      </c>
      <c r="H102" s="31" t="inlineStr">
        <is>
          <t>1. «Aros ofisigacha»ni tanlash</t>
        </is>
      </c>
      <c r="I102" s="31" t="inlineStr"/>
      <c r="J102" s="31" t="inlineStr">
        <is>
          <t>Faqat bitta olib ketish punkti — foydalanuvchining do'koni (ombori), oldindan tanlangan va o'zgarmaydi; viloyat tanlash va «Manzil qo'shish» yashirin; yetkazish 0 so'm / «Bepul»</t>
        </is>
      </c>
      <c r="K102" s="31" t="inlineStr">
        <is>
          <t>PRD Client Confirmation Page CHK-006</t>
        </is>
      </c>
      <c r="L102" s="33" t="inlineStr">
        <is>
          <t>Ha</t>
        </is>
      </c>
      <c r="M102" s="31" t="inlineStr">
        <is>
          <t>Hozir «Manzil qo'shish» ko'rinadi — «Kamchiliklar»ga qarang</t>
        </is>
      </c>
      <c r="N102" s="33" t="inlineStr">
        <is>
          <t>Avtomatlashtirilmagan</t>
        </is>
      </c>
      <c r="O102" s="31" t="inlineStr"/>
      <c r="P102" s="33" t="inlineStr">
        <is>
          <t>Bajarilmagan</t>
        </is>
      </c>
      <c r="Q102" s="31" t="inlineStr"/>
    </row>
    <row r="103" ht="62" customHeight="1">
      <c r="A103" s="30" t="inlineStr">
        <is>
          <t>CHK-007</t>
        </is>
      </c>
      <c r="B103" s="31" t="inlineStr">
        <is>
          <t>Buyurtmani rasmiylashtirish</t>
        </is>
      </c>
      <c r="C103" s="31" t="inlineStr">
        <is>
          <t>Yetkazish</t>
        </is>
      </c>
      <c r="D103" s="32" t="inlineStr">
        <is>
          <t>«BTS uyingizga eltib berish»</t>
        </is>
      </c>
      <c r="E103" s="33" t="inlineStr">
        <is>
          <t>P1</t>
        </is>
      </c>
      <c r="F103" s="33" t="inlineStr">
        <is>
          <t>Functional</t>
        </is>
      </c>
      <c r="G103" s="31" t="inlineStr">
        <is>
          <t>Foydalanuvchi Usta sifatida tizimga kirgan; savatda mavjud 2+ ta mahsulot bor; foydalanuvchida saqlangan manzil bor</t>
        </is>
      </c>
      <c r="H103" s="31" t="inlineStr">
        <is>
          <t>1. «BTS uyingizga eltib berish»ni tanlash</t>
        </is>
      </c>
      <c r="I103" s="31" t="inlineStr"/>
      <c r="J103" s="31" t="inlineStr">
        <is>
          <t>«Yetkazish shahri *» maydoni, foydalanuvchi manzili va «Boshqasini tanlash» havolasi paydo bo'ldi; yetkazish narxi «Mijoz tomonidan»; mahsulotlar blokida BTS orqali yetkazish</t>
        </is>
      </c>
      <c r="K103" s="31" t="inlineStr"/>
      <c r="L103" s="33" t="inlineStr">
        <is>
          <t>Ha</t>
        </is>
      </c>
      <c r="M103" s="31" t="inlineStr"/>
      <c r="N103" s="33" t="inlineStr">
        <is>
          <t>Avtomatlashtirilmagan</t>
        </is>
      </c>
      <c r="O103" s="31" t="inlineStr"/>
      <c r="P103" s="33" t="inlineStr">
        <is>
          <t>Bajarilmagan</t>
        </is>
      </c>
      <c r="Q103" s="31" t="inlineStr"/>
    </row>
    <row r="104" ht="48" customHeight="1">
      <c r="A104" s="30" t="inlineStr">
        <is>
          <t>CHK-008</t>
        </is>
      </c>
      <c r="B104" s="31" t="inlineStr">
        <is>
          <t>Buyurtmani rasmiylashtirish</t>
        </is>
      </c>
      <c r="C104" s="31" t="inlineStr">
        <is>
          <t>Yetkazish</t>
        </is>
      </c>
      <c r="D104" s="32" t="inlineStr">
        <is>
          <t>«BTS ofisigacha»</t>
        </is>
      </c>
      <c r="E104" s="33" t="inlineStr">
        <is>
          <t>P2</t>
        </is>
      </c>
      <c r="F104" s="33" t="inlineStr">
        <is>
          <t>Functional</t>
        </is>
      </c>
      <c r="G104" s="31" t="inlineStr">
        <is>
          <t>Foydalanuvchi Usta sifatida tizimga kirgan; savatda mavjud 2+ ta mahsulot bor</t>
        </is>
      </c>
      <c r="H104" s="31" t="inlineStr">
        <is>
          <t>1. «BTS ofisigacha»ni tanlash
2. Viloyat va BTS bo'limini tanlash</t>
        </is>
      </c>
      <c r="I104" s="31" t="inlineStr"/>
      <c r="J104" s="31" t="inlineStr">
        <is>
          <t>Bo'lim tanlandi va buyurtmada ko'rinadi</t>
        </is>
      </c>
      <c r="K104" s="31" t="inlineStr"/>
      <c r="L104" s="33" t="inlineStr">
        <is>
          <t>Ha</t>
        </is>
      </c>
      <c r="M104" s="31" t="inlineStr"/>
      <c r="N104" s="33" t="inlineStr">
        <is>
          <t>Avtomatlashtirilmagan</t>
        </is>
      </c>
      <c r="O104" s="31" t="inlineStr"/>
      <c r="P104" s="33" t="inlineStr">
        <is>
          <t>Bajarilmagan</t>
        </is>
      </c>
      <c r="Q104" s="31" t="inlineStr"/>
    </row>
    <row r="105" ht="48" customHeight="1">
      <c r="A105" s="30" t="inlineStr">
        <is>
          <t>CHK-009</t>
        </is>
      </c>
      <c r="B105" s="31" t="inlineStr">
        <is>
          <t>Buyurtmani rasmiylashtirish</t>
        </is>
      </c>
      <c r="C105" s="31" t="inlineStr">
        <is>
          <t>Yetkazish</t>
        </is>
      </c>
      <c r="D105" s="32" t="inlineStr">
        <is>
          <t>«Aros ofisidan 1 km gacha»</t>
        </is>
      </c>
      <c r="E105" s="33" t="inlineStr">
        <is>
          <t>P2</t>
        </is>
      </c>
      <c r="F105" s="33" t="inlineStr">
        <is>
          <t>Functional</t>
        </is>
      </c>
      <c r="G105" s="31" t="inlineStr">
        <is>
          <t>Foydalanuvchi Usta sifatida tizimga kirgan; savatda mavjud 2+ ta mahsulot bor</t>
        </is>
      </c>
      <c r="H105" s="31" t="inlineStr">
        <is>
          <t>1. «Aros ofisidan 1 km gacha»ni tanlash
2. Saqlangan manzilni tanlash</t>
        </is>
      </c>
      <c r="I105" s="31" t="inlineStr"/>
      <c r="J105" s="31" t="inlineStr">
        <is>
          <t>Saqlangan manzillar mavjud; yetkazish narxi — «Jami»ga kiritilgan summa (Aros kuryeriga to'lanadi)</t>
        </is>
      </c>
      <c r="K105" s="31" t="inlineStr">
        <is>
          <t>PRD Client Confirmation Page §8, §12</t>
        </is>
      </c>
      <c r="L105" s="33" t="inlineStr">
        <is>
          <t>Qisman</t>
        </is>
      </c>
      <c r="M105" s="31" t="inlineStr">
        <is>
          <t>Yetkazish narxi sozlamalariga bog'liq</t>
        </is>
      </c>
      <c r="N105" s="33" t="inlineStr">
        <is>
          <t>Avtomatlashtirilmagan</t>
        </is>
      </c>
      <c r="O105" s="31" t="inlineStr"/>
      <c r="P105" s="33" t="inlineStr">
        <is>
          <t>Bajarilmagan</t>
        </is>
      </c>
      <c r="Q105" s="31" t="inlineStr"/>
    </row>
    <row r="106" ht="48" customHeight="1">
      <c r="A106" s="30" t="inlineStr">
        <is>
          <t>CHK-010</t>
        </is>
      </c>
      <c r="B106" s="31" t="inlineStr">
        <is>
          <t>Buyurtmani rasmiylashtirish</t>
        </is>
      </c>
      <c r="C106" s="31" t="inlineStr">
        <is>
          <t>Manzil</t>
        </is>
      </c>
      <c r="D106" s="32" t="inlineStr">
        <is>
          <t>Rasmiylashtirishda manzilni almashtirish va qo'shish</t>
        </is>
      </c>
      <c r="E106" s="33" t="inlineStr">
        <is>
          <t>P2</t>
        </is>
      </c>
      <c r="F106" s="33" t="inlineStr">
        <is>
          <t>Functional</t>
        </is>
      </c>
      <c r="G106" s="31" t="inlineStr">
        <is>
          <t>Foydalanuvchi Usta sifatida tizimga kirgan; savatda mavjud 2+ ta mahsulot bor</t>
        </is>
      </c>
      <c r="H106" s="31" t="inlineStr">
        <is>
          <t>1. «Boshqasini tanlash»ni bosib boshqa manzilni tanlash
2. «Manzil qo'shish»ni bosib, to'ldirib saqlash</t>
        </is>
      </c>
      <c r="I106" s="31" t="inlineStr"/>
      <c r="J106" s="31" t="inlineStr">
        <is>
          <t>Tanlangan manzil qo'yiladi; yangi manzil ro'yxatda va profilda paydo bo'ladi</t>
        </is>
      </c>
      <c r="K106" s="31" t="inlineStr"/>
      <c r="L106" s="33" t="inlineStr">
        <is>
          <t>Ha</t>
        </is>
      </c>
      <c r="M106" s="31" t="inlineStr"/>
      <c r="N106" s="33" t="inlineStr">
        <is>
          <t>Avtomatlashtirilmagan</t>
        </is>
      </c>
      <c r="O106" s="31" t="inlineStr"/>
      <c r="P106" s="33" t="inlineStr">
        <is>
          <t>Bajarilmagan</t>
        </is>
      </c>
      <c r="Q106" s="31" t="inlineStr"/>
    </row>
    <row r="107" ht="62" customHeight="1">
      <c r="A107" s="30" t="inlineStr">
        <is>
          <t>CHK-011</t>
        </is>
      </c>
      <c r="B107" s="31" t="inlineStr">
        <is>
          <t>Buyurtmani rasmiylashtirish</t>
        </is>
      </c>
      <c r="C107" s="31" t="inlineStr">
        <is>
          <t>Izoh</t>
        </is>
      </c>
      <c r="D107" s="32" t="inlineStr">
        <is>
          <t>Buyurtmaga izoh: 500 limiti va buyurtmada ko'rinishi</t>
        </is>
      </c>
      <c r="E107" s="33" t="inlineStr">
        <is>
          <t>P3</t>
        </is>
      </c>
      <c r="F107" s="33" t="inlineStr">
        <is>
          <t>Functional</t>
        </is>
      </c>
      <c r="G107" s="31" t="inlineStr">
        <is>
          <t>Foydalanuvchi Usta sifatida tizimga kirgan; savatda mavjud 2+ ta mahsulot bor</t>
        </is>
      </c>
      <c r="H107" s="31" t="inlineStr">
        <is>
          <t>1. Izoh kiritish
2. 501-belgini kiritishga urinish
3. Buyurtma berish
4. Buyurtma tafsilotini ochish</t>
        </is>
      </c>
      <c r="I107" s="31" t="inlineStr">
        <is>
          <t>Izoh: «Bir soat oldin qo'ng'iroq qiling»</t>
        </is>
      </c>
      <c r="J107" s="31" t="inlineStr">
        <is>
          <t>N/500 hisoblagich; 501-belgi kiritilmaydi; bo'sh izoh buyurtmani bloklamaydi; buyurtma tafsilotida izoh faqat o'qish uchun ko'rinadi</t>
        </is>
      </c>
      <c r="K107" s="31" t="inlineStr">
        <is>
          <t>PRD Client Order Comment</t>
        </is>
      </c>
      <c r="L107" s="33" t="inlineStr">
        <is>
          <t>Ha</t>
        </is>
      </c>
      <c r="M107" s="31" t="inlineStr"/>
      <c r="N107" s="33" t="inlineStr">
        <is>
          <t>Avtomatlashtirilmagan</t>
        </is>
      </c>
      <c r="O107" s="31" t="inlineStr"/>
      <c r="P107" s="33" t="inlineStr">
        <is>
          <t>Bajarilmagan</t>
        </is>
      </c>
      <c r="Q107" s="31" t="inlineStr"/>
    </row>
    <row r="108" ht="48" customHeight="1">
      <c r="A108" s="30" t="inlineStr">
        <is>
          <t>CHK-012</t>
        </is>
      </c>
      <c r="B108" s="31" t="inlineStr">
        <is>
          <t>Buyurtmani rasmiylashtirish</t>
        </is>
      </c>
      <c r="C108" s="31" t="inlineStr">
        <is>
          <t>Hisob</t>
        </is>
      </c>
      <c r="D108" s="32" t="inlineStr">
        <is>
          <t>Rasmiylashtirish yakunlari savat bilan mos</t>
        </is>
      </c>
      <c r="E108" s="33" t="inlineStr">
        <is>
          <t>P1</t>
        </is>
      </c>
      <c r="F108" s="33" t="inlineStr">
        <is>
          <t>Functional</t>
        </is>
      </c>
      <c r="G108" s="31" t="inlineStr">
        <is>
          <t>Foydalanuvchi Usta sifatida tizimga kirgan; savatda mavjud 2+ ta mahsulot bor</t>
        </is>
      </c>
      <c r="H108" s="31" t="inlineStr">
        <is>
          <t>1. Savatdagi yakunlarni eslab qolish
2. Rasmiylashtirishni ochish</t>
        </is>
      </c>
      <c r="I108" s="31" t="inlineStr"/>
      <c r="J108" s="31" t="inlineStr">
        <is>
          <t>«Mahsulotlar narxi», «Chegirma» va «Jami» mos; «Yetkazib berish narxi» usulga mos</t>
        </is>
      </c>
      <c r="K108" s="31" t="inlineStr"/>
      <c r="L108" s="33" t="inlineStr">
        <is>
          <t>Ha</t>
        </is>
      </c>
      <c r="M108" s="31" t="inlineStr"/>
      <c r="N108" s="33" t="inlineStr">
        <is>
          <t>Avtomatlashtirilmagan</t>
        </is>
      </c>
      <c r="O108" s="31" t="inlineStr"/>
      <c r="P108" s="33" t="inlineStr">
        <is>
          <t>Bajarilmagan</t>
        </is>
      </c>
      <c r="Q108" s="31" t="inlineStr"/>
    </row>
    <row r="109" ht="48" customHeight="1">
      <c r="A109" s="30" t="inlineStr">
        <is>
          <t>CHK-013</t>
        </is>
      </c>
      <c r="B109" s="31" t="inlineStr">
        <is>
          <t>Buyurtmani rasmiylashtirish</t>
        </is>
      </c>
      <c r="C109" s="31" t="inlineStr">
        <is>
          <t>Oferta</t>
        </is>
      </c>
      <c r="D109" s="32" t="inlineStr">
        <is>
          <t>Ommaviy oferta havolasi</t>
        </is>
      </c>
      <c r="E109" s="33" t="inlineStr">
        <is>
          <t>P3</t>
        </is>
      </c>
      <c r="F109" s="33" t="inlineStr">
        <is>
          <t>UI</t>
        </is>
      </c>
      <c r="G109" s="31" t="inlineStr">
        <is>
          <t>Foydalanuvchi Usta sifatida tizimga kirgan; savatda mavjud 2+ ta mahsulot bor</t>
        </is>
      </c>
      <c r="H109" s="31" t="inlineStr">
        <is>
          <t>1. «ommaviy oferta shartlariga» havolasini bosish</t>
        </is>
      </c>
      <c r="I109" s="31" t="inlineStr"/>
      <c r="J109" s="31" t="inlineStr">
        <is>
          <t>Ommaviy oferta matni ochildi</t>
        </is>
      </c>
      <c r="K109" s="31" t="inlineStr"/>
      <c r="L109" s="33" t="inlineStr">
        <is>
          <t>Ha</t>
        </is>
      </c>
      <c r="M109" s="31" t="inlineStr"/>
      <c r="N109" s="33" t="inlineStr">
        <is>
          <t>Avtomatlashtirilmagan</t>
        </is>
      </c>
      <c r="O109" s="31" t="inlineStr"/>
      <c r="P109" s="33" t="inlineStr">
        <is>
          <t>Bajarilmagan</t>
        </is>
      </c>
      <c r="Q109" s="31" t="inlineStr"/>
    </row>
    <row r="110" ht="118" customHeight="1">
      <c r="A110" s="30" t="inlineStr">
        <is>
          <t>CHK-014</t>
        </is>
      </c>
      <c r="B110" s="31" t="inlineStr">
        <is>
          <t>Buyurtmani rasmiylashtirish</t>
        </is>
      </c>
      <c r="C110" s="31" t="inlineStr">
        <is>
          <t>Buyurtma yaratish</t>
        </is>
      </c>
      <c r="D110" s="32" t="inlineStr">
        <is>
          <t>Buyurtma berish: naqd + ofisdan olib ketish</t>
        </is>
      </c>
      <c r="E110" s="33" t="inlineStr">
        <is>
          <t>P1</t>
        </is>
      </c>
      <c r="F110" s="33" t="inlineStr">
        <is>
          <t>Smoke</t>
        </is>
      </c>
      <c r="G110" s="31" t="inlineStr">
        <is>
          <t>Foydalanuvchi Usta sifatida tizimga kirgan; savatda mavjud 2+ ta mahsulot bor</t>
        </is>
      </c>
      <c r="H110" s="31" t="inlineStr">
        <is>
          <t>1. «Naqd» va «Aros ofisigacha»ni tanlash
2. «Buyurtma berish»ni bosish
3. «Buyurtmalarni ko'rish»ni bosish</t>
        </is>
      </c>
      <c r="I110" s="31" t="inlineStr"/>
      <c r="J110" s="31" t="inlineStr">
        <is>
          <t>«Xaridingiz muvaffaqiyatli amalga oshirildi!» oynasi «Buyurtmalarni ko'rish» / «Xaridni davom ettirish» tugmalari bilan, xabar «Muvaffaqiyatli amalga oshirildi!»; buyurtma qilingan mahsulotlar savatdan chiqdi (nishon 0); buyurtma «Mening buyurtmalarim»da birinchi, holati «Yig'ilmoqda», to'lov «To'lanmagan», yetkazish — ofis manzili; «Buyurtmangiz qabul qilindi» bildirishnomasi</t>
        </is>
      </c>
      <c r="K110" s="31" t="inlineStr">
        <is>
          <t>staging'da tekshirilgan 28.10.2026 (buyurtma #518190)</t>
        </is>
      </c>
      <c r="L110" s="33" t="inlineStr">
        <is>
          <t>Ha</t>
        </is>
      </c>
      <c r="M110" s="31" t="inlineStr">
        <is>
          <t>Buyurtma yaratadi — testdan keyin bekor qilish (ORD «Buyurtmani bekor qilish»)</t>
        </is>
      </c>
      <c r="N110" s="33" t="inlineStr">
        <is>
          <t>Avtomatlashtirilmagan</t>
        </is>
      </c>
      <c r="O110" s="31" t="inlineStr"/>
      <c r="P110" s="33" t="inlineStr">
        <is>
          <t>Bajarilmagan</t>
        </is>
      </c>
      <c r="Q110" s="31" t="inlineStr"/>
    </row>
    <row r="111" ht="48" customHeight="1">
      <c r="A111" s="30" t="inlineStr">
        <is>
          <t>CHK-015</t>
        </is>
      </c>
      <c r="B111" s="31" t="inlineStr">
        <is>
          <t>Buyurtmani rasmiylashtirish</t>
        </is>
      </c>
      <c r="C111" s="31" t="inlineStr">
        <is>
          <t>Buyurtma yaratish</t>
        </is>
      </c>
      <c r="D111" s="32" t="inlineStr">
        <is>
          <t>BTS orqali uygacha yetkazish bilan buyurtma berish</t>
        </is>
      </c>
      <c r="E111" s="33" t="inlineStr">
        <is>
          <t>P1</t>
        </is>
      </c>
      <c r="F111" s="33" t="inlineStr">
        <is>
          <t>Functional</t>
        </is>
      </c>
      <c r="G111" s="31" t="inlineStr">
        <is>
          <t>Foydalanuvchi Usta sifatida tizimga kirgan; savatda mavjud 2+ ta mahsulot bor</t>
        </is>
      </c>
      <c r="H111" s="31" t="inlineStr">
        <is>
          <t>1. «BTS uyingizga eltib berish», viloyat va manzilni tanlash
2. Buyurtma berish</t>
        </is>
      </c>
      <c r="I111" s="31" t="inlineStr"/>
      <c r="J111" s="31" t="inlineStr">
        <is>
          <t>Buyurtma yaratildi; tafsilotda BTS yetkazish turi va tanlangan manzil</t>
        </is>
      </c>
      <c r="K111" s="31" t="inlineStr"/>
      <c r="L111" s="33" t="inlineStr">
        <is>
          <t>Ha</t>
        </is>
      </c>
      <c r="M111" s="31" t="inlineStr">
        <is>
          <t>Buyurtma yaratadi — tozalash kerak</t>
        </is>
      </c>
      <c r="N111" s="33" t="inlineStr">
        <is>
          <t>Avtomatlashtirilmagan</t>
        </is>
      </c>
      <c r="O111" s="31" t="inlineStr"/>
      <c r="P111" s="33" t="inlineStr">
        <is>
          <t>Bajarilmagan</t>
        </is>
      </c>
      <c r="Q111" s="31" t="inlineStr"/>
    </row>
    <row r="112" ht="48" customHeight="1">
      <c r="A112" s="30" t="inlineStr">
        <is>
          <t>CHK-016</t>
        </is>
      </c>
      <c r="B112" s="31" t="inlineStr">
        <is>
          <t>Buyurtmani rasmiylashtirish</t>
        </is>
      </c>
      <c r="C112" s="31" t="inlineStr">
        <is>
          <t>Validatsiya</t>
        </is>
      </c>
      <c r="D112" s="32" t="inlineStr">
        <is>
          <t>Majburiy maydonlarsiz buyurtma berish</t>
        </is>
      </c>
      <c r="E112" s="33" t="inlineStr">
        <is>
          <t>P2</t>
        </is>
      </c>
      <c r="F112" s="33" t="inlineStr">
        <is>
          <t>Negative</t>
        </is>
      </c>
      <c r="G112" s="31" t="inlineStr">
        <is>
          <t>Foydalanuvchi Usta sifatida tizimga kirgan; savatda mavjud 2+ ta mahsulot bor</t>
        </is>
      </c>
      <c r="H112" s="31" t="inlineStr">
        <is>
          <t>1. Uygacha yetkazishni manzilsiz tanlash
2. «Buyurtma berish»ni bosish</t>
        </is>
      </c>
      <c r="I112" s="31" t="inlineStr"/>
      <c r="J112" s="31" t="inlineStr">
        <is>
          <t>Majburiy maydonda validatsiya xatosi; buyurtma yaratilmadi</t>
        </is>
      </c>
      <c r="K112" s="31" t="inlineStr"/>
      <c r="L112" s="33" t="inlineStr">
        <is>
          <t>Ha</t>
        </is>
      </c>
      <c r="M112" s="31" t="inlineStr"/>
      <c r="N112" s="33" t="inlineStr">
        <is>
          <t>Avtomatlashtirilmagan</t>
        </is>
      </c>
      <c r="O112" s="31" t="inlineStr"/>
      <c r="P112" s="33" t="inlineStr">
        <is>
          <t>Bajarilmagan</t>
        </is>
      </c>
      <c r="Q112" s="31" t="inlineStr"/>
    </row>
    <row r="113" ht="48" customHeight="1">
      <c r="A113" s="30" t="inlineStr">
        <is>
          <t>CHK-017</t>
        </is>
      </c>
      <c r="B113" s="31" t="inlineStr">
        <is>
          <t>Buyurtmani rasmiylashtirish</t>
        </is>
      </c>
      <c r="C113" s="31" t="inlineStr">
        <is>
          <t>Buyurtma yaratish</t>
        </is>
      </c>
      <c r="D113" s="32" t="inlineStr">
        <is>
          <t>«Buyurtma berish»ni ikki marta bosish dublikat yaratmaydi</t>
        </is>
      </c>
      <c r="E113" s="33" t="inlineStr">
        <is>
          <t>P2</t>
        </is>
      </c>
      <c r="F113" s="33" t="inlineStr">
        <is>
          <t>Negative</t>
        </is>
      </c>
      <c r="G113" s="31" t="inlineStr">
        <is>
          <t>Foydalanuvchi Usta sifatida tizimga kirgan; savatda mavjud 2+ ta mahsulot bor</t>
        </is>
      </c>
      <c r="H113" s="31" t="inlineStr">
        <is>
          <t>1. «Buyurtma berish»ni tez-tez ikki marta bosish</t>
        </is>
      </c>
      <c r="I113" s="31" t="inlineStr"/>
      <c r="J113" s="31" t="inlineStr">
        <is>
          <t>Aynan bitta buyurtma yaratildi</t>
        </is>
      </c>
      <c r="K113" s="31" t="inlineStr"/>
      <c r="L113" s="33" t="inlineStr">
        <is>
          <t>Ha</t>
        </is>
      </c>
      <c r="M113" s="31" t="inlineStr"/>
      <c r="N113" s="33" t="inlineStr">
        <is>
          <t>Avtomatlashtirilmagan</t>
        </is>
      </c>
      <c r="O113" s="31" t="inlineStr"/>
      <c r="P113" s="33" t="inlineStr">
        <is>
          <t>Bajarilmagan</t>
        </is>
      </c>
      <c r="Q113" s="31" t="inlineStr"/>
    </row>
    <row r="114" ht="76" customHeight="1">
      <c r="A114" s="30" t="inlineStr">
        <is>
          <t>CHK-018</t>
        </is>
      </c>
      <c r="B114" s="31" t="inlineStr">
        <is>
          <t>Buyurtmani rasmiylashtirish</t>
        </is>
      </c>
      <c r="C114" s="31" t="inlineStr">
        <is>
          <t>Guruhlash</t>
        </is>
      </c>
      <c r="D114" s="32" t="inlineStr">
        <is>
          <t>Turli omborlardagi mahsulotlar → bir nechta buyurtma</t>
        </is>
      </c>
      <c r="E114" s="33" t="inlineStr">
        <is>
          <t>P2</t>
        </is>
      </c>
      <c r="F114" s="33" t="inlineStr">
        <is>
          <t>Functional</t>
        </is>
      </c>
      <c r="G114" s="31" t="inlineStr">
        <is>
          <t>Foydalanuvchi Usta sifatida tizimga kirgan; savatda turli omborlardagi mahsulotlar</t>
        </is>
      </c>
      <c r="H114" s="31" t="inlineStr">
        <is>
          <t>1. Rasmiylashtirishni ochish
2. «Mahsulotlar» blokini tekshirish
3. Buyurtma berish</t>
        </is>
      </c>
      <c r="I114" s="31" t="inlineStr"/>
      <c r="J114" s="31" t="inlineStr">
        <is>
          <t>Mahsulotlar yetkazuvchi ombor bo'yicha guruhlangan (nomi, muddat, soni); mahsulot boshqa ombordan bo'lsa — ko'chirishni kutish haqida izoh; har bir ombor uchun bitta buyurtma yaratiladi, hammasi foydalanuvchi do'konida qabul qilinadi</t>
        </is>
      </c>
      <c r="K114" s="31" t="inlineStr">
        <is>
          <t>PRD Client Confirmation Page CHK-005, CHK-008</t>
        </is>
      </c>
      <c r="L114" s="33" t="inlineStr">
        <is>
          <t>Qisman</t>
        </is>
      </c>
      <c r="M114" s="31" t="inlineStr">
        <is>
          <t>Turli omborlarda qoldig'i bor mahsulotlar kerak</t>
        </is>
      </c>
      <c r="N114" s="33" t="inlineStr">
        <is>
          <t>Avtomatlashtirilmagan</t>
        </is>
      </c>
      <c r="O114" s="31" t="inlineStr"/>
      <c r="P114" s="33" t="inlineStr">
        <is>
          <t>Bajarilmagan</t>
        </is>
      </c>
      <c r="Q114" s="31" t="inlineStr"/>
    </row>
    <row r="115" ht="62" customHeight="1">
      <c r="A115" s="30" t="inlineStr">
        <is>
          <t>CHK-019</t>
        </is>
      </c>
      <c r="B115" s="31" t="inlineStr">
        <is>
          <t>Buyurtmani rasmiylashtirish</t>
        </is>
      </c>
      <c r="C115" s="31" t="inlineStr">
        <is>
          <t>Tezkor harid</t>
        </is>
      </c>
      <c r="D115" s="32" t="inlineStr">
        <is>
          <t>Tezkor harid savatga ta'sir qilmaydi</t>
        </is>
      </c>
      <c r="E115" s="33" t="inlineStr">
        <is>
          <t>P2</t>
        </is>
      </c>
      <c r="F115" s="33" t="inlineStr">
        <is>
          <t>Functional</t>
        </is>
      </c>
      <c r="G115" s="31" t="inlineStr">
        <is>
          <t>Foydalanuvchi Usta sifatida tizimga kirgan; savatda mavjud 2+ ta mahsulot bor</t>
        </is>
      </c>
      <c r="H115" s="31" t="inlineStr">
        <is>
          <t>1. Boshqa mahsulot sahifasida «Tezkor harid»ni bosish
2. Buyurtma berish
3. Savatni ochish</t>
        </is>
      </c>
      <c r="I115" s="31" t="inlineStr"/>
      <c r="J115" s="31" t="inlineStr">
        <is>
          <t>Buyurtmada faqat tezkor harid mahsuloti; savatning avvalgi tarkibi o'zgarmadi</t>
        </is>
      </c>
      <c r="K115" s="31" t="inlineStr"/>
      <c r="L115" s="33" t="inlineStr">
        <is>
          <t>Ha</t>
        </is>
      </c>
      <c r="M115" s="31" t="inlineStr"/>
      <c r="N115" s="33" t="inlineStr">
        <is>
          <t>Avtomatlashtirilmagan</t>
        </is>
      </c>
      <c r="O115" s="31" t="inlineStr"/>
      <c r="P115" s="33" t="inlineStr">
        <is>
          <t>Bajarilmagan</t>
        </is>
      </c>
      <c r="Q115" s="31" t="inlineStr"/>
    </row>
    <row r="116" ht="90" customHeight="1">
      <c r="A116" s="30" t="inlineStr">
        <is>
          <t>CHK-020</t>
        </is>
      </c>
      <c r="B116" s="31" t="inlineStr">
        <is>
          <t>Buyurtmani rasmiylashtirish</t>
        </is>
      </c>
      <c r="C116" s="31" t="inlineStr">
        <is>
          <t>Hamyon (qarz)</t>
        </is>
      </c>
      <c r="D116" s="32" t="inlineStr">
        <is>
          <t>Hamyon yopiq bo'lsa yashirin/mavjud emas</t>
        </is>
      </c>
      <c r="E116" s="33" t="inlineStr">
        <is>
          <t>P1</t>
        </is>
      </c>
      <c r="F116" s="33" t="inlineStr">
        <is>
          <t>Negative</t>
        </is>
      </c>
      <c r="G116" s="31" t="inlineStr">
        <is>
          <t>Foydalanuvchi Usta sifatida tizimga kirgan; savatda mavjud 2+ ta mahsulot bor; navbat bilan: Limit Summa = 0 / Limit Kun = 0 / Debt Status = Blocked</t>
        </is>
      </c>
      <c r="H116" s="31" t="inlineStr">
        <is>
          <t>1. Admin shartni o'rnatadi
2. Usta rasmiylashtirishni ochadi</t>
        </is>
      </c>
      <c r="I116" s="31" t="inlineStr">
        <is>
          <t>Test ustada hozir limit 0 → Hamyon ko'rinmaydi</t>
        </is>
      </c>
      <c r="J116" s="31" t="inlineStr">
        <is>
          <t>Har qanday shartda Hamyon usuli mavjud emas; Naqd va Ball odatdagidek ishlaydi</t>
        </is>
      </c>
      <c r="K116" s="31" t="inlineStr">
        <is>
          <t>PRD Debt Limit (B2B/B2M) §5</t>
        </is>
      </c>
      <c r="L116" s="33" t="inlineStr">
        <is>
          <t>Qisman</t>
        </is>
      </c>
      <c r="M116" s="31" t="inlineStr">
        <is>
          <t>Limit sozlamalari — admin panelda («Qarz cheklovi»)</t>
        </is>
      </c>
      <c r="N116" s="33" t="inlineStr">
        <is>
          <t>Avtomatlashtirilmagan</t>
        </is>
      </c>
      <c r="O116" s="31" t="inlineStr"/>
      <c r="P116" s="33" t="inlineStr">
        <is>
          <t>Bajarilmagan</t>
        </is>
      </c>
      <c r="Q116" s="31" t="inlineStr"/>
    </row>
    <row r="117" ht="90" customHeight="1">
      <c r="A117" s="30" t="inlineStr">
        <is>
          <t>CHK-021</t>
        </is>
      </c>
      <c r="B117" s="31" t="inlineStr">
        <is>
          <t>Buyurtmani rasmiylashtirish</t>
        </is>
      </c>
      <c r="C117" s="31" t="inlineStr">
        <is>
          <t>Hamyon (qarz)</t>
        </is>
      </c>
      <c r="D117" s="32" t="inlineStr">
        <is>
          <t>Qarzga buyurtma berish (Hamyon)</t>
        </is>
      </c>
      <c r="E117" s="33" t="inlineStr">
        <is>
          <t>P1</t>
        </is>
      </c>
      <c r="F117" s="33" t="inlineStr">
        <is>
          <t>Smoke</t>
        </is>
      </c>
      <c r="G117" s="31" t="inlineStr">
        <is>
          <t>Foydalanuvchi Usta sifatida tizimga kirgan; admin ustaga hamyon ochgan: Debt Status = Open, Limit Summa &gt; 0, Limit Kun &gt; 0; savatdagi mahsulotlar summasi limitdan kam</t>
        </is>
      </c>
      <c r="H117" s="31" t="inlineStr">
        <is>
          <t>1. Hamyon ni tanlash
2. N kunlik muddatni tanlash (1…Limit Kun)
3. Buyurtma berish</t>
        </is>
      </c>
      <c r="I117" s="31" t="inlineStr">
        <is>
          <t>Limit Kun = 5, N = 3</t>
        </is>
      </c>
      <c r="J117" s="31" t="inlineStr">
        <is>
          <t>Muddat yonida — «N kun · bugun berilsa ≈ KK.OO.YYYY» (bugun + N); buyurtma yaratildi, tafsilotda: to'lov Hamyon, to'lov muddati «N kun · ≈ sana», to'lov holati «To'lanmagan»; buyurtma «Mening hamyonim»da paydo bo'ldi</t>
        </is>
      </c>
      <c r="K117" s="31" t="inlineStr">
        <is>
          <t>PRD Debt Limit (B2B/B2M) §4.3</t>
        </is>
      </c>
      <c r="L117" s="33" t="inlineStr">
        <is>
          <t>Ha</t>
        </is>
      </c>
      <c r="M117" s="31" t="inlineStr">
        <is>
          <t>Admin panelda limit bir marta sozlangandan keyin</t>
        </is>
      </c>
      <c r="N117" s="33" t="inlineStr">
        <is>
          <t>Avtomatlashtirilmagan</t>
        </is>
      </c>
      <c r="O117" s="31" t="inlineStr"/>
      <c r="P117" s="33" t="inlineStr">
        <is>
          <t>Bajarilmagan</t>
        </is>
      </c>
      <c r="Q117" s="31" t="inlineStr"/>
    </row>
    <row r="118" ht="76" customHeight="1">
      <c r="A118" s="30" t="inlineStr">
        <is>
          <t>CHK-022</t>
        </is>
      </c>
      <c r="B118" s="31" t="inlineStr">
        <is>
          <t>Buyurtmani rasmiylashtirish</t>
        </is>
      </c>
      <c r="C118" s="31" t="inlineStr">
        <is>
          <t>Hamyon (qarz)</t>
        </is>
      </c>
      <c r="D118" s="32" t="inlineStr">
        <is>
          <t>Qarz muddati Limit Kun bilan cheklangan (usta uchun maks. 15)</t>
        </is>
      </c>
      <c r="E118" s="33" t="inlineStr">
        <is>
          <t>P2</t>
        </is>
      </c>
      <c r="F118" s="33" t="inlineStr">
        <is>
          <t>Negative</t>
        </is>
      </c>
      <c r="G118" s="31" t="inlineStr">
        <is>
          <t>Foydalanuvchi Usta sifatida tizimga kirgan; admin ustaga hamyon ochgan: Debt Status = Open, Limit Summa &gt; 0, Limit Kun &gt; 0; Limit Kun = 3</t>
        </is>
      </c>
      <c r="H118" s="31" t="inlineStr">
        <is>
          <t>1. Hamyon ni tanlash
2. 4+ kunlik muddatni tanlashga urinish</t>
        </is>
      </c>
      <c r="I118" s="31" t="inlineStr"/>
      <c r="J118" s="31" t="inlineStr">
        <is>
          <t>Limit Kun dan ko'p tanlab bo'lmaydi; usta uchun sozlamaning yuqori chegarasi — 15 kun; muddat tanlanmasa — sukut bo'yicha +1 kun</t>
        </is>
      </c>
      <c r="K118" s="31" t="inlineStr">
        <is>
          <t>PRD Debt Limit (B2B/B2M) §4.1–4.3; PRD Mijoz rollari (narx turi) MR-T1</t>
        </is>
      </c>
      <c r="L118" s="33" t="inlineStr">
        <is>
          <t>Ha</t>
        </is>
      </c>
      <c r="M118" s="31" t="inlineStr"/>
      <c r="N118" s="33" t="inlineStr">
        <is>
          <t>Avtomatlashtirilmagan</t>
        </is>
      </c>
      <c r="O118" s="31" t="inlineStr"/>
      <c r="P118" s="33" t="inlineStr">
        <is>
          <t>Bajarilmagan</t>
        </is>
      </c>
      <c r="Q118" s="31" t="inlineStr"/>
    </row>
    <row r="119" ht="90" customHeight="1">
      <c r="A119" s="30" t="inlineStr">
        <is>
          <t>CHK-023</t>
        </is>
      </c>
      <c r="B119" s="31" t="inlineStr">
        <is>
          <t>Buyurtmani rasmiylashtirish</t>
        </is>
      </c>
      <c r="C119" s="31" t="inlineStr">
        <is>
          <t>Hamyon (qarz)</t>
        </is>
      </c>
      <c r="D119" s="32" t="inlineStr">
        <is>
          <t>Qarz limitidan oshish</t>
        </is>
      </c>
      <c r="E119" s="33" t="inlineStr">
        <is>
          <t>P1</t>
        </is>
      </c>
      <c r="F119" s="33" t="inlineStr">
        <is>
          <t>Negative</t>
        </is>
      </c>
      <c r="G119" s="31" t="inlineStr">
        <is>
          <t>Foydalanuvchi Usta sifatida tizimga kirgan; admin ustaga hamyon ochgan: Debt Status = Open, Limit Summa &gt; 0, Limit Kun &gt; 0; Limit Summa = 100 000, 80 000 to'lanmagan qarz bor</t>
        </is>
      </c>
      <c r="H119" s="31" t="inlineStr">
        <is>
          <t>1. Hamyon bilan 30 000 lik buyurtma berish</t>
        </is>
      </c>
      <c r="I119" s="31" t="inlineStr"/>
      <c r="J119" s="31" t="inlineStr">
        <is>
          <t>Buyurtma yaratilmadi, xato: «Siz limitdan oshiqcha qarzga mahsulot ola olmaysiz! Sizning mavjud limitingiz: 20 000 so'm». Faol qarz = To'lanmagan + Uzaytirilgan + Muddati o'tgan</t>
        </is>
      </c>
      <c r="K119" s="31" t="inlineStr">
        <is>
          <t>PRD Debt Limit (B2B/B2M) §3.2</t>
        </is>
      </c>
      <c r="L119" s="33" t="inlineStr">
        <is>
          <t>Qisman</t>
        </is>
      </c>
      <c r="M119" s="31" t="inlineStr">
        <is>
          <t>Qarzni admin orqali tayyorlash kerak</t>
        </is>
      </c>
      <c r="N119" s="33" t="inlineStr">
        <is>
          <t>Avtomatlashtirilmagan</t>
        </is>
      </c>
      <c r="O119" s="31" t="inlineStr"/>
      <c r="P119" s="33" t="inlineStr">
        <is>
          <t>Bajarilmagan</t>
        </is>
      </c>
      <c r="Q119" s="31" t="inlineStr"/>
    </row>
    <row r="120" ht="76" customHeight="1">
      <c r="A120" s="30" t="inlineStr">
        <is>
          <t>CHK-024</t>
        </is>
      </c>
      <c r="B120" s="31" t="inlineStr">
        <is>
          <t>Buyurtmani rasmiylashtirish</t>
        </is>
      </c>
      <c r="C120" s="31" t="inlineStr">
        <is>
          <t>Hamyon (qarz)</t>
        </is>
      </c>
      <c r="D120" s="32" t="inlineStr">
        <is>
          <t>Muddati o'tgan qarz bo'lsa Ball mavjud emas</t>
        </is>
      </c>
      <c r="E120" s="33" t="inlineStr">
        <is>
          <t>P2</t>
        </is>
      </c>
      <c r="F120" s="33" t="inlineStr">
        <is>
          <t>Negative</t>
        </is>
      </c>
      <c r="G120" s="31" t="inlineStr">
        <is>
          <t>Foydalanuvchi Usta sifatida tizimga kirgan; muddati o'tgan qarz bor</t>
        </is>
      </c>
      <c r="H120" s="31" t="inlineStr">
        <is>
          <t>1. Rasmiylashtirishni ochish
2. «Ball» plitkasini ko'rish</t>
        </is>
      </c>
      <c r="I120" s="31" t="inlineStr"/>
      <c r="J120" s="31" t="inlineStr">
        <is>
          <t>«Ball» plitkasi ko'rinadi, lekin faol emas, matn bilan: «Muddati o'tgan qarzingiz bor. Ball bilan yangi buyurtma berish uchun avval qarzni yoping.» Server ham bunday buyurtmani rad etadi (400). Uzaytirilgan qarz cheklovni yoqmaydi</t>
        </is>
      </c>
      <c r="K120" s="31" t="inlineStr">
        <is>
          <t>PRD Ball cheklovi (DRAFT)</t>
        </is>
      </c>
      <c r="L120" s="33" t="inlineStr">
        <is>
          <t>Qisman</t>
        </is>
      </c>
      <c r="M120" s="31" t="inlineStr">
        <is>
          <t>PRD DRAFT holatida — joriy qilinganini aniqlashtirish</t>
        </is>
      </c>
      <c r="N120" s="33" t="inlineStr">
        <is>
          <t>Avtomatlashtirilmagan</t>
        </is>
      </c>
      <c r="O120" s="31" t="inlineStr"/>
      <c r="P120" s="33" t="inlineStr">
        <is>
          <t>Bajarilmagan</t>
        </is>
      </c>
      <c r="Q120" s="31" t="inlineStr"/>
    </row>
    <row r="121" ht="76" customHeight="1">
      <c r="A121" s="30" t="inlineStr">
        <is>
          <t>CHK-025</t>
        </is>
      </c>
      <c r="B121" s="31" t="inlineStr">
        <is>
          <t>Buyurtmani rasmiylashtirish</t>
        </is>
      </c>
      <c r="C121" s="31" t="inlineStr">
        <is>
          <t>Yetkazish</t>
        </is>
      </c>
      <c r="D121" s="32" t="inlineStr">
        <is>
          <t>Usullar bo'yicha yetkazish narxi</t>
        </is>
      </c>
      <c r="E121" s="33" t="inlineStr">
        <is>
          <t>P2</t>
        </is>
      </c>
      <c r="F121" s="33" t="inlineStr">
        <is>
          <t>Functional</t>
        </is>
      </c>
      <c r="G121" s="31" t="inlineStr">
        <is>
          <t>Foydalanuvchi Usta sifatida tizimga kirgan; savatda mavjud 2+ ta mahsulot bor</t>
        </is>
      </c>
      <c r="H121" s="31" t="inlineStr">
        <is>
          <t>1. Barcha yetkazish turlarini navbat bilan tanlash
2. «Yetkazib berish narxi» va «Jami» qatorini kuzatish</t>
        </is>
      </c>
      <c r="I121" s="31" t="inlineStr"/>
      <c r="J121" s="31" t="inlineStr">
        <is>
          <t>Aros ofisigacha — 0/«Bepul»; 1 km gacha — summa, jamiga kiradi; BTS (ikkalasi) — «Mijoz tomonidan», summasiz; Yandex — «Kuryerga to'lanadi», izoh bilan. Pullik tashqi usullar uchun quruq «0 so'm» ko'rsatilmaydi</t>
        </is>
      </c>
      <c r="K121" s="31" t="inlineStr">
        <is>
          <t>PRD Client Confirmation Page §12, CHK-007</t>
        </is>
      </c>
      <c r="L121" s="33" t="inlineStr">
        <is>
          <t>Ha</t>
        </is>
      </c>
      <c r="M121" s="31" t="inlineStr"/>
      <c r="N121" s="33" t="inlineStr">
        <is>
          <t>Avtomatlashtirilmagan</t>
        </is>
      </c>
      <c r="O121" s="31" t="inlineStr"/>
      <c r="P121" s="33" t="inlineStr">
        <is>
          <t>Bajarilmagan</t>
        </is>
      </c>
      <c r="Q121" s="31" t="inlineStr"/>
    </row>
    <row r="122" ht="62" customHeight="1">
      <c r="A122" s="30" t="inlineStr">
        <is>
          <t>CHK-026</t>
        </is>
      </c>
      <c r="B122" s="31" t="inlineStr">
        <is>
          <t>Buyurtmani rasmiylashtirish</t>
        </is>
      </c>
      <c r="C122" s="31" t="inlineStr">
        <is>
          <t>Yandex</t>
        </is>
      </c>
      <c r="D122" s="32" t="inlineStr">
        <is>
          <t>Yandex yetkazish: xaritadagi nuqta va qabul qiluvchi telefoni</t>
        </is>
      </c>
      <c r="E122" s="33" t="inlineStr">
        <is>
          <t>P3</t>
        </is>
      </c>
      <c r="F122" s="33" t="inlineStr">
        <is>
          <t>Functional</t>
        </is>
      </c>
      <c r="G122" s="31" t="inlineStr">
        <is>
          <t>Foydalanuvchi Usta sifatida tizimga kirgan; savatda mavjud 2+ ta mahsulot bor; Yandex admin tomonidan yoqilgan</t>
        </is>
      </c>
      <c r="H122" s="31" t="inlineStr">
        <is>
          <t>1. «Yandex orqali yetkazib berish»ni tanlash
2. Xaritada manzil qo'shish
3. Qabul qiluvchi telefonini o'zgartirish
4. Buyurtma berish</t>
        </is>
      </c>
      <c r="I122" s="31" t="inlineStr"/>
      <c r="J122" s="31" t="inlineStr">
        <is>
          <t>Faqat koordinatali manzillar mavjud; telefon majburiy, sukut bo'yicha akkaunt telefoni; bo'sh/noto'g'ri telefon rasmiylashtirishni bloklaydi; Yandex faqat o'z do'koni viloyatida mavjud</t>
        </is>
      </c>
      <c r="K122" s="31" t="inlineStr">
        <is>
          <t>PRD Client Confirmation Page §9, CHK-002–004</t>
        </is>
      </c>
      <c r="L122" s="33" t="inlineStr">
        <is>
          <t>Qisman</t>
        </is>
      </c>
      <c r="M122" s="31" t="inlineStr">
        <is>
          <t>Xarita (Yandex Maps) — qisman; hozir usul o'chirilgan</t>
        </is>
      </c>
      <c r="N122" s="33" t="inlineStr">
        <is>
          <t>Avtomatlashtirilmagan</t>
        </is>
      </c>
      <c r="O122" s="31" t="inlineStr"/>
      <c r="P122" s="33" t="inlineStr">
        <is>
          <t>Bajarilmagan</t>
        </is>
      </c>
      <c r="Q122" s="31" t="inlineStr"/>
    </row>
    <row r="123" ht="90" customHeight="1">
      <c r="A123" s="26" t="inlineStr">
        <is>
          <t>ORD-001</t>
        </is>
      </c>
      <c r="B123" s="27" t="inlineStr">
        <is>
          <t>Mening buyurtmalarim</t>
        </is>
      </c>
      <c r="C123" s="27" t="inlineStr">
        <is>
          <t>Ro'yxat</t>
        </is>
      </c>
      <c r="D123" s="28" t="inlineStr">
        <is>
          <t>«Faollar» / «Barchasi» tablari va buyurtma holatlari</t>
        </is>
      </c>
      <c r="E123" s="29" t="inlineStr">
        <is>
          <t>P1</t>
        </is>
      </c>
      <c r="F123" s="29" t="inlineStr">
        <is>
          <t>Smoke</t>
        </is>
      </c>
      <c r="G123" s="27" t="inlineStr">
        <is>
          <t>Foydalanuvchi Usta sifatida tizimga kirgan; faol va yopilgan buyurtmalar bor</t>
        </is>
      </c>
      <c r="H123" s="27" t="inlineStr">
        <is>
          <t>1. «Mening buyurtmalarim»ni ochish
2. Tablarni almashtirish</t>
        </is>
      </c>
      <c r="I123" s="27" t="inlineStr"/>
      <c r="J123" s="27" t="inlineStr">
        <is>
          <t>«Faollar» (sukut bo'yicha): Yig'ilmoqda, Yig'ildi, Yetkazilmoqda, BTSga yetkazildi; «Barchasi»: barcha buyurtma va qaytarishlar sana bo'yicha kamayish tartibida. «Yetkazildi» va «Bekor qilindi» — faqat «Barchasi»da. Ranglar: sariq — jarayonda, yashil — yetkazildi, qizil — bekor qilindi</t>
        </is>
      </c>
      <c r="K123" s="27" t="inlineStr">
        <is>
          <t>PRD My Orders §4.2, §5</t>
        </is>
      </c>
      <c r="L123" s="29" t="inlineStr">
        <is>
          <t>Ha</t>
        </is>
      </c>
      <c r="M123" s="27" t="inlineStr"/>
      <c r="N123" s="29" t="inlineStr">
        <is>
          <t>Avtomatlashtirilmagan</t>
        </is>
      </c>
      <c r="O123" s="27" t="inlineStr"/>
      <c r="P123" s="29" t="inlineStr">
        <is>
          <t>Bajarilmagan</t>
        </is>
      </c>
      <c r="Q123" s="27" t="inlineStr"/>
    </row>
    <row r="124" ht="48" customHeight="1">
      <c r="A124" s="26" t="inlineStr">
        <is>
          <t>ORD-002</t>
        </is>
      </c>
      <c r="B124" s="27" t="inlineStr">
        <is>
          <t>Mening buyurtmalarim</t>
        </is>
      </c>
      <c r="C124" s="27" t="inlineStr">
        <is>
          <t>Ro'yxat</t>
        </is>
      </c>
      <c r="D124" s="28" t="inlineStr">
        <is>
          <t>Buyurtma kartochkasidagi ma'lumotlar</t>
        </is>
      </c>
      <c r="E124" s="29" t="inlineStr">
        <is>
          <t>P2</t>
        </is>
      </c>
      <c r="F124" s="29" t="inlineStr">
        <is>
          <t>UI</t>
        </is>
      </c>
      <c r="G124" s="27" t="inlineStr">
        <is>
          <t>Foydalanuvchi Usta sifatida tizimga kirgan; buyurtmalar bor</t>
        </is>
      </c>
      <c r="H124" s="27" t="inlineStr">
        <is>
          <t>1. Buyurtma kartochkasini ko'rib chiqish</t>
        </is>
      </c>
      <c r="I124" s="27" t="inlineStr"/>
      <c r="J124" s="27" t="inlineStr">
        <is>
          <t>Buyurtma raqami, holat nishoni, buyurtma sanasi, mahsulot soni, to'lov holati, to'lov turi, yetkazib berish turi, umumiy narx</t>
        </is>
      </c>
      <c r="K124" s="27" t="inlineStr"/>
      <c r="L124" s="29" t="inlineStr">
        <is>
          <t>Ha</t>
        </is>
      </c>
      <c r="M124" s="27" t="inlineStr"/>
      <c r="N124" s="29" t="inlineStr">
        <is>
          <t>Avtomatlashtirilmagan</t>
        </is>
      </c>
      <c r="O124" s="27" t="inlineStr"/>
      <c r="P124" s="29" t="inlineStr">
        <is>
          <t>Bajarilmagan</t>
        </is>
      </c>
      <c r="Q124" s="27" t="inlineStr"/>
    </row>
    <row r="125" ht="76" customHeight="1">
      <c r="A125" s="26" t="inlineStr">
        <is>
          <t>ORD-003</t>
        </is>
      </c>
      <c r="B125" s="27" t="inlineStr">
        <is>
          <t>Mening buyurtmalarim</t>
        </is>
      </c>
      <c r="C125" s="27" t="inlineStr">
        <is>
          <t>Filtrlar</t>
        </is>
      </c>
      <c r="D125" s="28" t="inlineStr">
        <is>
          <t>Buyurtmalar ro'yxati filtrlari</t>
        </is>
      </c>
      <c r="E125" s="29" t="inlineStr">
        <is>
          <t>P2</t>
        </is>
      </c>
      <c r="F125" s="29" t="inlineStr">
        <is>
          <t>Functional</t>
        </is>
      </c>
      <c r="G125" s="27" t="inlineStr">
        <is>
          <t>Foydalanuvchi Usta sifatida tizimga kirgan; buyurtma va qaytarishlar bor</t>
        </is>
      </c>
      <c r="H125" s="27" t="inlineStr">
        <is>
          <t>1. «Barchasi» tabida «Buyurtma», keyin «Mahsulot qaytarish»ni tanlash
2. «Filterlar»ni ochib, davrni berish
3. Tozalash</t>
        </is>
      </c>
      <c r="I125" s="27" t="inlineStr"/>
      <c r="J125" s="27" t="inlineStr">
        <is>
          <t>Chiplar ro'yxatni filtrlaydi (bittasi tanlanadi); davr sana bo'yicha filtrlaydi; hech narsa o'zgarmaguncha «Filtrlash»/«Tozalash» faol emas. PRD bo'yicha ID bo'yicha qidiruv va to'lov turi filtri (Naqd/Ball/Hamyon) ham bor</t>
        </is>
      </c>
      <c r="K125" s="27" t="inlineStr">
        <is>
          <t>PRD My Orders §4.3–4.4</t>
        </is>
      </c>
      <c r="L125" s="29" t="inlineStr">
        <is>
          <t>Ha</t>
        </is>
      </c>
      <c r="M125" s="27" t="inlineStr">
        <is>
          <t>Vebda ID qidiruvi va to'lov filtri yo'q — aniqlashtirish</t>
        </is>
      </c>
      <c r="N125" s="29" t="inlineStr">
        <is>
          <t>Avtomatlashtirilmagan</t>
        </is>
      </c>
      <c r="O125" s="27" t="inlineStr"/>
      <c r="P125" s="29" t="inlineStr">
        <is>
          <t>Bajarilmagan</t>
        </is>
      </c>
      <c r="Q125" s="27" t="inlineStr"/>
    </row>
    <row r="126" ht="104" customHeight="1">
      <c r="A126" s="26" t="inlineStr">
        <is>
          <t>ORD-004</t>
        </is>
      </c>
      <c r="B126" s="27" t="inlineStr">
        <is>
          <t>Mening buyurtmalarim</t>
        </is>
      </c>
      <c r="C126" s="27" t="inlineStr">
        <is>
          <t>Tafsilot</t>
        </is>
      </c>
      <c r="D126" s="28" t="inlineStr">
        <is>
          <t>Buyurtma tafsiloti</t>
        </is>
      </c>
      <c r="E126" s="29" t="inlineStr">
        <is>
          <t>P1</t>
        </is>
      </c>
      <c r="F126" s="29" t="inlineStr">
        <is>
          <t>Functional</t>
        </is>
      </c>
      <c r="G126" s="27" t="inlineStr">
        <is>
          <t>Foydalanuvchi Usta sifatida tizimga kirgan; buyurtma bor</t>
        </is>
      </c>
      <c r="H126" s="27" t="inlineStr">
        <is>
          <t>1. Buyurtmani bosish</t>
        </is>
      </c>
      <c r="I126" s="27" t="inlineStr"/>
      <c r="J126" s="27" t="inlineStr">
        <is>
          <t>Holat, yaratilgan sana (va yetkazilgan/bekor qilingan yoki taxminiy sana), yetkazish turi va manzili, to'lov turi, to'lov muddati (faqat Hamyon uchun, aks holda «—»), to'lov sanasi va holati, buyurtma narxi, yetkazish, chegirma, to'plangan ballar (1%), jami = narx + yetkazish − chegirma; mahsulotlar: rasm, ID bilan nom, «miqdor × narx» B2M narxida</t>
        </is>
      </c>
      <c r="K126" s="27" t="inlineStr">
        <is>
          <t>PRD My Orders §4.5</t>
        </is>
      </c>
      <c r="L126" s="29" t="inlineStr">
        <is>
          <t>Ha</t>
        </is>
      </c>
      <c r="M126" s="27" t="inlineStr">
        <is>
          <t>Hozir ayrim maydonlar yo'q — «Kamchiliklar»ga qarang</t>
        </is>
      </c>
      <c r="N126" s="29" t="inlineStr">
        <is>
          <t>Avtomatlashtirilmagan</t>
        </is>
      </c>
      <c r="O126" s="27" t="inlineStr"/>
      <c r="P126" s="29" t="inlineStr">
        <is>
          <t>Bajarilmagan</t>
        </is>
      </c>
      <c r="Q126" s="27" t="inlineStr"/>
    </row>
    <row r="127" ht="48" customHeight="1">
      <c r="A127" s="26" t="inlineStr">
        <is>
          <t>ORD-005</t>
        </is>
      </c>
      <c r="B127" s="27" t="inlineStr">
        <is>
          <t>Mening buyurtmalarim</t>
        </is>
      </c>
      <c r="C127" s="27" t="inlineStr">
        <is>
          <t>Tafsilot</t>
        </is>
      </c>
      <c r="D127" s="28" t="inlineStr">
        <is>
          <t>Buyurtma summa va ma'lumotlari rasmiylashtirish bilan mos</t>
        </is>
      </c>
      <c r="E127" s="29" t="inlineStr">
        <is>
          <t>P1</t>
        </is>
      </c>
      <c r="F127" s="29" t="inlineStr">
        <is>
          <t>Functional</t>
        </is>
      </c>
      <c r="G127" s="27" t="inlineStr">
        <is>
          <t>Foydalanuvchi Usta sifatida tizimga kirgan; hozirgina buyurtma berilgan</t>
        </is>
      </c>
      <c r="H127" s="27" t="inlineStr">
        <is>
          <t>1. Yangi buyurtma tafsilotini ochish</t>
        </is>
      </c>
      <c r="I127" s="27" t="inlineStr"/>
      <c r="J127" s="27" t="inlineStr">
        <is>
          <t>Mahsulotlar, miqdor, yetkazish turi, manzil va «Jami» rasmiylashtirishda kiritilganiga mos</t>
        </is>
      </c>
      <c r="K127" s="27" t="inlineStr"/>
      <c r="L127" s="29" t="inlineStr">
        <is>
          <t>Ha</t>
        </is>
      </c>
      <c r="M127" s="27" t="inlineStr">
        <is>
          <t>Rasmiylashtirish keysi bilan bog'liq</t>
        </is>
      </c>
      <c r="N127" s="29" t="inlineStr">
        <is>
          <t>Avtomatlashtirilmagan</t>
        </is>
      </c>
      <c r="O127" s="27" t="inlineStr"/>
      <c r="P127" s="29" t="inlineStr">
        <is>
          <t>Bajarilmagan</t>
        </is>
      </c>
      <c r="Q127" s="27" t="inlineStr"/>
    </row>
    <row r="128" ht="48" customHeight="1">
      <c r="A128" s="26" t="inlineStr">
        <is>
          <t>ORD-006</t>
        </is>
      </c>
      <c r="B128" s="27" t="inlineStr">
        <is>
          <t>Mening buyurtmalarim</t>
        </is>
      </c>
      <c r="C128" s="27" t="inlineStr">
        <is>
          <t>Holatlar</t>
        </is>
      </c>
      <c r="D128" s="28" t="inlineStr">
        <is>
          <t>Admin paneldagi holat o'zgarishi ustada aks etadi</t>
        </is>
      </c>
      <c r="E128" s="29" t="inlineStr">
        <is>
          <t>P1</t>
        </is>
      </c>
      <c r="F128" s="29" t="inlineStr">
        <is>
          <t>Integration</t>
        </is>
      </c>
      <c r="G128" s="27" t="inlineStr">
        <is>
          <t>Foydalanuvchi Usta sifatida tizimga kirgan; buyurtma «Yig'ilmoqda» holatida</t>
        </is>
      </c>
      <c r="H128" s="27" t="inlineStr">
        <is>
          <t>1. Admin panelda buyurtmani keyingi holatga o'tkazish
2. «Mening buyurtmalarim»ni yangilash</t>
        </is>
      </c>
      <c r="I128" s="27" t="inlineStr"/>
      <c r="J128" s="27" t="inlineStr">
        <is>
          <t>Holat va nishon yangilandi, buyurtma tablar orasida to'g'ri ko'chadi</t>
        </is>
      </c>
      <c r="K128" s="27" t="inlineStr"/>
      <c r="L128" s="29" t="inlineStr">
        <is>
          <t>Qisman</t>
        </is>
      </c>
      <c r="M128" s="27" t="inlineStr">
        <is>
          <t>Admin panel/API kerak</t>
        </is>
      </c>
      <c r="N128" s="29" t="inlineStr">
        <is>
          <t>Avtomatlashtirilmagan</t>
        </is>
      </c>
      <c r="O128" s="27" t="inlineStr"/>
      <c r="P128" s="29" t="inlineStr">
        <is>
          <t>Bajarilmagan</t>
        </is>
      </c>
      <c r="Q128" s="27" t="inlineStr"/>
    </row>
    <row r="129" ht="104" customHeight="1">
      <c r="A129" s="26" t="inlineStr">
        <is>
          <t>ORD-007</t>
        </is>
      </c>
      <c r="B129" s="27" t="inlineStr">
        <is>
          <t>Mening buyurtmalarim</t>
        </is>
      </c>
      <c r="C129" s="27" t="inlineStr">
        <is>
          <t>Bekor qilish</t>
        </is>
      </c>
      <c r="D129" s="28" t="inlineStr">
        <is>
          <t>Usta tomonidan sabab tanlab buyurtmani bekor qilish</t>
        </is>
      </c>
      <c r="E129" s="29" t="inlineStr">
        <is>
          <t>P1</t>
        </is>
      </c>
      <c r="F129" s="29" t="inlineStr">
        <is>
          <t>Functional</t>
        </is>
      </c>
      <c r="G129" s="27" t="inlineStr">
        <is>
          <t>Foydalanuvchi Usta sifatida tizimga kirgan; yakunlanmagan buyurtma bor (CHK orqali yaratish)</t>
        </is>
      </c>
      <c r="H129" s="27" t="inlineStr">
        <is>
          <t>1. Buyurtma tafsilotini ochish
2. «Buyurtmani bekor qilish»ni bosish
3. «Xato qilib buyurtma qilib yuboribman» sababini tanlash
4. «Ha, bekor qilish»ni bosish</t>
        </is>
      </c>
      <c r="I129" s="27" t="inlineStr"/>
      <c r="J129" s="27" t="inlineStr">
        <is>
          <t>«Buyurtmani bekor qilasizmi?» oynasi qaytariladigan summa bilan; sabab tanlanmaguncha «Ha, bekor qilish» faol emas; bekor qilingandan keyin holat «Bekor qilindi», tafsilotda «Bekor qilish sababi», «HARAKATLAR» bloki yo'qoldi; «Buyurtmangiz bekor qilindi.» bildirishnomasi keladi; mahsulot qoldiqqa qaytdi</t>
        </is>
      </c>
      <c r="K129" s="27" t="inlineStr">
        <is>
          <t>PRD Buyurtmani bekor qilish; staging'da tekshirilgan 28.10.2026</t>
        </is>
      </c>
      <c r="L129" s="29" t="inlineStr">
        <is>
          <t>Ha</t>
        </is>
      </c>
      <c r="M129" s="27" t="inlineStr">
        <is>
          <t>Test buyurtmalarini ham tozalaydi</t>
        </is>
      </c>
      <c r="N129" s="29" t="inlineStr">
        <is>
          <t>Avtomatlashtirilmagan</t>
        </is>
      </c>
      <c r="O129" s="27" t="inlineStr"/>
      <c r="P129" s="29" t="inlineStr">
        <is>
          <t>Bajarilmagan</t>
        </is>
      </c>
      <c r="Q129" s="27" t="inlineStr"/>
    </row>
    <row r="130" ht="76" customHeight="1">
      <c r="A130" s="26" t="inlineStr">
        <is>
          <t>ORD-008</t>
        </is>
      </c>
      <c r="B130" s="27" t="inlineStr">
        <is>
          <t>Mening buyurtmalarim</t>
        </is>
      </c>
      <c r="C130" s="27" t="inlineStr">
        <is>
          <t>Qaytarish</t>
        </is>
      </c>
      <c r="D130" s="28" t="inlineStr">
        <is>
          <t>Qaytarish kartochkasi va tafsiloti</t>
        </is>
      </c>
      <c r="E130" s="29" t="inlineStr">
        <is>
          <t>P2</t>
        </is>
      </c>
      <c r="F130" s="29" t="inlineStr">
        <is>
          <t>Integration</t>
        </is>
      </c>
      <c r="G130" s="27" t="inlineStr">
        <is>
          <t>Foydalanuvchi Usta sifatida tizimga kirgan; admin bajarilgan buyurtma bo'yicha qaytarish rasmiylashtirgan</t>
        </is>
      </c>
      <c r="H130" s="27" t="inlineStr">
        <is>
          <t>1. «Mening buyurtmalarim» → «Barchasi» → «Mahsulot qaytarish»
2. Qaytarishni ochish</t>
        </is>
      </c>
      <c r="I130" s="27" t="inlineStr"/>
      <c r="J130" s="27" t="inlineStr">
        <is>
          <t>Kartochka: ID, «Qaytarildi» holati, qaytaruvchi, sana, ombor, soni, summa. Tafsilot: ombor, to'lov turi, ayirilgan ballar qizil rangda «−» bilan, jami, mahsulotlar sotilgan narxda. Qaytarishni faqat admin yaratadi</t>
        </is>
      </c>
      <c r="K130" s="27" t="inlineStr">
        <is>
          <t>PRD My Orders §4.6; PRD Product Return</t>
        </is>
      </c>
      <c r="L130" s="29" t="inlineStr">
        <is>
          <t>Qisman</t>
        </is>
      </c>
      <c r="M130" s="27" t="inlineStr">
        <is>
          <t>Qaytarish admin panelda rasmiylashtiriladi</t>
        </is>
      </c>
      <c r="N130" s="29" t="inlineStr">
        <is>
          <t>Avtomatlashtirilmagan</t>
        </is>
      </c>
      <c r="O130" s="27" t="inlineStr"/>
      <c r="P130" s="29" t="inlineStr">
        <is>
          <t>Bajarilmagan</t>
        </is>
      </c>
      <c r="Q130" s="27" t="inlineStr"/>
    </row>
    <row r="131" ht="48" customHeight="1">
      <c r="A131" s="26" t="inlineStr">
        <is>
          <t>ORD-009</t>
        </is>
      </c>
      <c r="B131" s="27" t="inlineStr">
        <is>
          <t>Mening buyurtmalarim</t>
        </is>
      </c>
      <c r="C131" s="27" t="inlineStr">
        <is>
          <t>Navigatsiya</t>
        </is>
      </c>
      <c r="D131" s="28" t="inlineStr">
        <is>
          <t>Buyurtma tafsilotidagi «Orqaga» tugmasi</t>
        </is>
      </c>
      <c r="E131" s="29" t="inlineStr">
        <is>
          <t>P3</t>
        </is>
      </c>
      <c r="F131" s="29" t="inlineStr">
        <is>
          <t>UI</t>
        </is>
      </c>
      <c r="G131" s="27" t="inlineStr">
        <is>
          <t>Foydalanuvchi Usta sifatida tizimga kirgan; buyurtma tafsiloti ochiq</t>
        </is>
      </c>
      <c r="H131" s="27" t="inlineStr">
        <is>
          <t>1. «Orqaga»ni bosish</t>
        </is>
      </c>
      <c r="I131" s="27" t="inlineStr"/>
      <c r="J131" s="27" t="inlineStr">
        <is>
          <t>Tab/filtr saqlangan holda buyurtmalar ro'yxatiga qaytish</t>
        </is>
      </c>
      <c r="K131" s="27" t="inlineStr"/>
      <c r="L131" s="29" t="inlineStr">
        <is>
          <t>Ha</t>
        </is>
      </c>
      <c r="M131" s="27" t="inlineStr"/>
      <c r="N131" s="29" t="inlineStr">
        <is>
          <t>Avtomatlashtirilmagan</t>
        </is>
      </c>
      <c r="O131" s="27" t="inlineStr"/>
      <c r="P131" s="29" t="inlineStr">
        <is>
          <t>Bajarilmagan</t>
        </is>
      </c>
      <c r="Q131" s="27" t="inlineStr"/>
    </row>
    <row r="132" ht="34" customHeight="1">
      <c r="A132" s="26" t="inlineStr">
        <is>
          <t>ORD-010</t>
        </is>
      </c>
      <c r="B132" s="27" t="inlineStr">
        <is>
          <t>Mening buyurtmalarim</t>
        </is>
      </c>
      <c r="C132" s="27" t="inlineStr">
        <is>
          <t>Xavfsizlik</t>
        </is>
      </c>
      <c r="D132" s="28" t="inlineStr">
        <is>
          <t>Begona buyurtma to'g'ridan-to'g'ri havola orqali ochilmaydi</t>
        </is>
      </c>
      <c r="E132" s="29" t="inlineStr">
        <is>
          <t>P2</t>
        </is>
      </c>
      <c r="F132" s="29" t="inlineStr">
        <is>
          <t>Security</t>
        </is>
      </c>
      <c r="G132" s="27" t="inlineStr">
        <is>
          <t>Foydalanuvchi Usta sifatida tizimga kirgan</t>
        </is>
      </c>
      <c r="H132" s="27" t="inlineStr">
        <is>
          <t>1. /uz/profile/orders/{begona buyurtma id} ni ochish</t>
        </is>
      </c>
      <c r="I132" s="27" t="inlineStr"/>
      <c r="J132" s="27" t="inlineStr">
        <is>
          <t>Kirish taqiqlangan / 404, begona buyurtma ma'lumotlari ko'rsatilmaydi</t>
        </is>
      </c>
      <c r="K132" s="27" t="inlineStr"/>
      <c r="L132" s="29" t="inlineStr">
        <is>
          <t>Ha</t>
        </is>
      </c>
      <c r="M132" s="27" t="inlineStr">
        <is>
          <t>Boshqa foydalanuvchi buyurtmasi ID si kerak</t>
        </is>
      </c>
      <c r="N132" s="29" t="inlineStr">
        <is>
          <t>Avtomatlashtirilmagan</t>
        </is>
      </c>
      <c r="O132" s="27" t="inlineStr"/>
      <c r="P132" s="29" t="inlineStr">
        <is>
          <t>Bajarilmagan</t>
        </is>
      </c>
      <c r="Q132" s="27" t="inlineStr"/>
    </row>
    <row r="133" ht="76" customHeight="1">
      <c r="A133" s="26" t="inlineStr">
        <is>
          <t>ORD-011</t>
        </is>
      </c>
      <c r="B133" s="27" t="inlineStr">
        <is>
          <t>Mening buyurtmalarim</t>
        </is>
      </c>
      <c r="C133" s="27" t="inlineStr">
        <is>
          <t>Bekor qilish</t>
        </is>
      </c>
      <c r="D133" s="28" t="inlineStr">
        <is>
          <t>Sababsiz bekor qilib bo'lmaydi; «Boshqa sabab» matn talab qiladi</t>
        </is>
      </c>
      <c r="E133" s="29" t="inlineStr">
        <is>
          <t>P2</t>
        </is>
      </c>
      <c r="F133" s="29" t="inlineStr">
        <is>
          <t>Negative</t>
        </is>
      </c>
      <c r="G133" s="27" t="inlineStr">
        <is>
          <t>Foydalanuvchi Usta sifatida tizimga kirgan; yakunlanmagan buyurtma bor</t>
        </is>
      </c>
      <c r="H133" s="27" t="inlineStr">
        <is>
          <t>1. «Buyurtmani bekor qilish»
2. Sabab tanlamaslik
3. «Boshqa sabab»ni tanlab, 3 belgi, keyin 10 belgi kiritish</t>
        </is>
      </c>
      <c r="I133" s="27" t="inlineStr"/>
      <c r="J133" s="27" t="inlineStr">
        <is>
          <t>Sababsiz «Ha, bekor qilish» faol emas; sabablar: Xato qilib buyurtma qilib yuboribman, Fikrim o'zgardi, Noto'g'ri mahsulot tanlabman, Muddat to'g'ri kelmadi, Boshqa sabab; «Boshqa» uchun izoh («Izoh qoldiring») majburiy, 5–200 belgi</t>
        </is>
      </c>
      <c r="K133" s="27" t="inlineStr">
        <is>
          <t>PRD Buyurtmani bekor qilish §5.2, BQ-001; staging'da tekshirilgan 28.10.2026</t>
        </is>
      </c>
      <c r="L133" s="29" t="inlineStr">
        <is>
          <t>Ha</t>
        </is>
      </c>
      <c r="M133" s="27" t="inlineStr">
        <is>
          <t>Hozir 3 belgi ham qabul qilinadi — «Kamchiliklar»ga qarang</t>
        </is>
      </c>
      <c r="N133" s="29" t="inlineStr">
        <is>
          <t>Avtomatlashtirilmagan</t>
        </is>
      </c>
      <c r="O133" s="27" t="inlineStr"/>
      <c r="P133" s="29" t="inlineStr">
        <is>
          <t>Bajarilmagan</t>
        </is>
      </c>
      <c r="Q133" s="27" t="inlineStr"/>
    </row>
    <row r="134" ht="48" customHeight="1">
      <c r="A134" s="26" t="inlineStr">
        <is>
          <t>ORD-012</t>
        </is>
      </c>
      <c r="B134" s="27" t="inlineStr">
        <is>
          <t>Mening buyurtmalarim</t>
        </is>
      </c>
      <c r="C134" s="27" t="inlineStr">
        <is>
          <t>Bekor qilish</t>
        </is>
      </c>
      <c r="D134" s="28" t="inlineStr">
        <is>
          <t>«Yo'q, qoldirish» buyurtmani bekor qilmaydi</t>
        </is>
      </c>
      <c r="E134" s="29" t="inlineStr">
        <is>
          <t>P3</t>
        </is>
      </c>
      <c r="F134" s="29" t="inlineStr">
        <is>
          <t>Functional</t>
        </is>
      </c>
      <c r="G134" s="27" t="inlineStr">
        <is>
          <t>Foydalanuvchi Usta sifatida tizimga kirgan; yakunlanmagan buyurtma bor</t>
        </is>
      </c>
      <c r="H134" s="27" t="inlineStr">
        <is>
          <t>1. «Buyurtmani bekor qilish»
2. «Yo'q, qoldirish»ni bosish</t>
        </is>
      </c>
      <c r="I134" s="27" t="inlineStr"/>
      <c r="J134" s="27" t="inlineStr">
        <is>
          <t>Oyna yopildi, buyurtma holati o'zgarmadi</t>
        </is>
      </c>
      <c r="K134" s="27" t="inlineStr">
        <is>
          <t>staging'da tekshirilgan 28.10.2026</t>
        </is>
      </c>
      <c r="L134" s="29" t="inlineStr">
        <is>
          <t>Ha</t>
        </is>
      </c>
      <c r="M134" s="27" t="inlineStr"/>
      <c r="N134" s="29" t="inlineStr">
        <is>
          <t>Avtomatlashtirilmagan</t>
        </is>
      </c>
      <c r="O134" s="27" t="inlineStr"/>
      <c r="P134" s="29" t="inlineStr">
        <is>
          <t>Bajarilmagan</t>
        </is>
      </c>
      <c r="Q134" s="27" t="inlineStr"/>
    </row>
    <row r="135" ht="48" customHeight="1">
      <c r="A135" s="26" t="inlineStr">
        <is>
          <t>ORD-013</t>
        </is>
      </c>
      <c r="B135" s="27" t="inlineStr">
        <is>
          <t>Mening buyurtmalarim</t>
        </is>
      </c>
      <c r="C135" s="27" t="inlineStr">
        <is>
          <t>Bekor qilish</t>
        </is>
      </c>
      <c r="D135" s="28" t="inlineStr">
        <is>
          <t>Bekor qilingandan keyin buyurtmalar ro'yxati yangilanadi</t>
        </is>
      </c>
      <c r="E135" s="29" t="inlineStr">
        <is>
          <t>P2</t>
        </is>
      </c>
      <c r="F135" s="29" t="inlineStr">
        <is>
          <t>Functional</t>
        </is>
      </c>
      <c r="G135" s="27" t="inlineStr">
        <is>
          <t>Foydalanuvchi Usta sifatida tizimga kirgan; buyurtma hozirgina tafsilotda bekor qilingan</t>
        </is>
      </c>
      <c r="H135" s="27" t="inlineStr">
        <is>
          <t>1. Bekor qilgandan keyin «Mening buyurtmalarim»ga o'tish (yangilamasdan)</t>
        </is>
      </c>
      <c r="I135" s="27" t="inlineStr"/>
      <c r="J135" s="27" t="inlineStr">
        <is>
          <t>Ro'yxatdagi buyurtma holati — «Bekor qilindi», darhol, sahifani yangilamasdan</t>
        </is>
      </c>
      <c r="K135" s="27" t="inlineStr">
        <is>
          <t>staging'da tekshirilgan 28.10.2026</t>
        </is>
      </c>
      <c r="L135" s="29" t="inlineStr">
        <is>
          <t>Ha</t>
        </is>
      </c>
      <c r="M135" s="27" t="inlineStr">
        <is>
          <t>Hozir xato takrorlanadi — «Kamchiliklar»ga qarang</t>
        </is>
      </c>
      <c r="N135" s="29" t="inlineStr">
        <is>
          <t>Avtomatlashtirilmagan</t>
        </is>
      </c>
      <c r="O135" s="27" t="inlineStr"/>
      <c r="P135" s="29" t="inlineStr">
        <is>
          <t>Bajarilmagan</t>
        </is>
      </c>
      <c r="Q135" s="27" t="inlineStr"/>
    </row>
    <row r="136" ht="90" customHeight="1">
      <c r="A136" s="26" t="inlineStr">
        <is>
          <t>ORD-014</t>
        </is>
      </c>
      <c r="B136" s="27" t="inlineStr">
        <is>
          <t>Mening buyurtmalarim</t>
        </is>
      </c>
      <c r="C136" s="27" t="inlineStr">
        <is>
          <t>To'lovni almashtirish</t>
        </is>
      </c>
      <c r="D136" s="28" t="inlineStr">
        <is>
          <t>Ustaning o'zi to'lov usulini almashtirishi</t>
        </is>
      </c>
      <c r="E136" s="29" t="inlineStr">
        <is>
          <t>P1</t>
        </is>
      </c>
      <c r="F136" s="29" t="inlineStr">
        <is>
          <t>Functional</t>
        </is>
      </c>
      <c r="G136" s="27" t="inlineStr">
        <is>
          <t>Foydalanuvchi Usta sifatida tizimga kirgan; buyurtma to'lanmagan, holati: yaratilgan / yuborilgan / qabul qilingan</t>
        </is>
      </c>
      <c r="H136" s="27" t="inlineStr">
        <is>
          <t>1. Buyurtma tafsiloti → «To'lov usulini o'zgartirish»
2. Yangi usulni tanlash
3. «Tasdiqlash»</t>
        </is>
      </c>
      <c r="I136" s="27" t="inlineStr">
        <is>
          <t>Naqd → Keshbek bilan (ball yetarli bo'lsa) / → Hamyon</t>
        </is>
      </c>
      <c r="J136" s="27" t="inlineStr">
        <is>
          <t>«Joriy to'lov usuli» alohida ko'rsatilgan va tanlanmaydi (Naqd faol emas); mavjud bo'lmagan usullar sababi bilan faol emas; Hamyon uchun muddat tanlash kerak; o'zgarish darhol qo'llanadi, muvaffaqiyat xabari, «TO'LOV» bloki yangilandi (Ball → «To'langan»)</t>
        </is>
      </c>
      <c r="K136" s="27" t="inlineStr">
        <is>
          <t>PRD Change Payment Method §5.1, §5.3; staging'da tekshirilgan 28.10.2026</t>
        </is>
      </c>
      <c r="L136" s="29" t="inlineStr">
        <is>
          <t>Ha</t>
        </is>
      </c>
      <c r="M136" s="27" t="inlineStr">
        <is>
          <t>Ball 0 bo'lsa ham «Keshbek bilan» faol — «Kamchiliklar»ga qarang</t>
        </is>
      </c>
      <c r="N136" s="29" t="inlineStr">
        <is>
          <t>Avtomatlashtirilmagan</t>
        </is>
      </c>
      <c r="O136" s="27" t="inlineStr"/>
      <c r="P136" s="29" t="inlineStr">
        <is>
          <t>Bajarilmagan</t>
        </is>
      </c>
      <c r="Q136" s="27" t="inlineStr"/>
    </row>
    <row r="137" ht="62" customHeight="1">
      <c r="A137" s="26" t="inlineStr">
        <is>
          <t>ORD-015</t>
        </is>
      </c>
      <c r="B137" s="27" t="inlineStr">
        <is>
          <t>Mening buyurtmalarim</t>
        </is>
      </c>
      <c r="C137" s="27" t="inlineStr">
        <is>
          <t>To'lovni almashtirish</t>
        </is>
      </c>
      <c r="D137" s="28" t="inlineStr">
        <is>
          <t>Yakunlangan va to'langan buyurtmalarda to'lovni almashtirib bo'lmaydi</t>
        </is>
      </c>
      <c r="E137" s="29" t="inlineStr">
        <is>
          <t>P2</t>
        </is>
      </c>
      <c r="F137" s="29" t="inlineStr">
        <is>
          <t>Negative</t>
        </is>
      </c>
      <c r="G137" s="27" t="inlineStr">
        <is>
          <t>Foydalanuvchi Usta sifatida tizimga kirgan; buyurtmalar: yetkazilgan / bekor qilingan / qaytarilgan / naqd to'langan</t>
        </is>
      </c>
      <c r="H137" s="27" t="inlineStr">
        <is>
          <t>1. Har birining tafsilotini ochish</t>
        </is>
      </c>
      <c r="I137" s="27" t="inlineStr"/>
      <c r="J137" s="27" t="inlineStr">
        <is>
          <t>«To'lov usulini o'zgartirish» tugmasi yo'q; istisno — ball bilan to'langan buyurtma (uni almashtirish mumkin, ball qaytadi)</t>
        </is>
      </c>
      <c r="K137" s="27" t="inlineStr">
        <is>
          <t>PRD Change Payment Method §5.1</t>
        </is>
      </c>
      <c r="L137" s="29" t="inlineStr">
        <is>
          <t>Ha</t>
        </is>
      </c>
      <c r="M137" s="27" t="inlineStr"/>
      <c r="N137" s="29" t="inlineStr">
        <is>
          <t>Avtomatlashtirilmagan</t>
        </is>
      </c>
      <c r="O137" s="27" t="inlineStr"/>
      <c r="P137" s="29" t="inlineStr">
        <is>
          <t>Bajarilmagan</t>
        </is>
      </c>
      <c r="Q137" s="27" t="inlineStr"/>
    </row>
    <row r="138" ht="62" customHeight="1">
      <c r="A138" s="26" t="inlineStr">
        <is>
          <t>ORD-016</t>
        </is>
      </c>
      <c r="B138" s="27" t="inlineStr">
        <is>
          <t>Mening buyurtmalarim</t>
        </is>
      </c>
      <c r="C138" s="27" t="inlineStr">
        <is>
          <t>To'lovni almashtirish</t>
        </is>
      </c>
      <c r="D138" s="28" t="inlineStr">
        <is>
          <t>Ball → Naqd almashtirish ballarni qaytaradi</t>
        </is>
      </c>
      <c r="E138" s="29" t="inlineStr">
        <is>
          <t>P2</t>
        </is>
      </c>
      <c r="F138" s="29" t="inlineStr">
        <is>
          <t>Integration</t>
        </is>
      </c>
      <c r="G138" s="27" t="inlineStr">
        <is>
          <t>Foydalanuvchi Usta sifatida tizimga kirgan; buyurtma ball bilan to'langan, qaytarishlar yo'q</t>
        </is>
      </c>
      <c r="H138" s="27" t="inlineStr">
        <is>
          <t>1. «To'lov usulini o'zgartirish» → Naqd
2. «Ballar»ni ochish</t>
        </is>
      </c>
      <c r="I138" s="27" t="inlineStr"/>
      <c r="J138" s="27" t="inlineStr">
        <is>
          <t>Ballar balansga qaytdi, buyurtma — «Naqd», «To'lanmagan»</t>
        </is>
      </c>
      <c r="K138" s="27" t="inlineStr">
        <is>
          <t>PRD Change Payment Method §5.4</t>
        </is>
      </c>
      <c r="L138" s="29" t="inlineStr">
        <is>
          <t>Qisman</t>
        </is>
      </c>
      <c r="M138" s="27" t="inlineStr">
        <is>
          <t>Balansda ball kerak (admin orqali qo'shish)</t>
        </is>
      </c>
      <c r="N138" s="29" t="inlineStr">
        <is>
          <t>Avtomatlashtirilmagan</t>
        </is>
      </c>
      <c r="O138" s="27" t="inlineStr"/>
      <c r="P138" s="29" t="inlineStr">
        <is>
          <t>Bajarilmagan</t>
        </is>
      </c>
      <c r="Q138" s="27" t="inlineStr"/>
    </row>
    <row r="139" ht="76" customHeight="1">
      <c r="A139" s="26" t="inlineStr">
        <is>
          <t>ORD-017</t>
        </is>
      </c>
      <c r="B139" s="27" t="inlineStr">
        <is>
          <t>Mening buyurtmalarim</t>
        </is>
      </c>
      <c r="C139" s="27" t="inlineStr">
        <is>
          <t>To'lovni almashtirish</t>
        </is>
      </c>
      <c r="D139" s="28" t="inlineStr">
        <is>
          <t>Sotuvchining to'lovni almashtirish so'rovini tasdiqlash/rad etish</t>
        </is>
      </c>
      <c r="E139" s="29" t="inlineStr">
        <is>
          <t>P2</t>
        </is>
      </c>
      <c r="F139" s="29" t="inlineStr">
        <is>
          <t>Integration</t>
        </is>
      </c>
      <c r="G139" s="27" t="inlineStr">
        <is>
          <t>Foydalanuvchi Usta sifatida tizimga kirgan; sotuvchi admin panelda «Naqd → Hamyon» so'rovini yuborgan</t>
        </is>
      </c>
      <c r="H139" s="27" t="inlineStr">
        <is>
          <t>1. Buyurtmani ochish
2. Bannerda «Tasdiqlash» (yoki «Rad etish»)ni bosish</t>
        </is>
      </c>
      <c r="I139" s="27" t="inlineStr"/>
      <c r="J139" s="27" t="inlineStr">
        <is>
          <t>«To'lov turini o'zgartirish so'rovi: X → Y» banneri; Hamyon muddati faqat o'qish uchun; tasdiqlangandan keyin usul almashdi, rad etilgandan keyin — o'zgarishsiz; «javob kutilmoqda» indikatori olib tashlanadi</t>
        </is>
      </c>
      <c r="K139" s="27" t="inlineStr">
        <is>
          <t>PRD Change Payment Method §5.3, §5.5</t>
        </is>
      </c>
      <c r="L139" s="29" t="inlineStr">
        <is>
          <t>Qisman</t>
        </is>
      </c>
      <c r="M139" s="27" t="inlineStr">
        <is>
          <t>So'rov admin panelda yaratiladi</t>
        </is>
      </c>
      <c r="N139" s="29" t="inlineStr">
        <is>
          <t>Avtomatlashtirilmagan</t>
        </is>
      </c>
      <c r="O139" s="27" t="inlineStr"/>
      <c r="P139" s="29" t="inlineStr">
        <is>
          <t>Bajarilmagan</t>
        </is>
      </c>
      <c r="Q139" s="27" t="inlineStr"/>
    </row>
    <row r="140" ht="48" customHeight="1">
      <c r="A140" s="26" t="inlineStr">
        <is>
          <t>ORD-018</t>
        </is>
      </c>
      <c r="B140" s="27" t="inlineStr">
        <is>
          <t>Mening buyurtmalarim</t>
        </is>
      </c>
      <c r="C140" s="27" t="inlineStr">
        <is>
          <t>Bekor qilish</t>
        </is>
      </c>
      <c r="D140" s="28" t="inlineStr">
        <is>
          <t>Ball bilan to'langan buyurtma bekor qilinganda ballar qaytadi</t>
        </is>
      </c>
      <c r="E140" s="29" t="inlineStr">
        <is>
          <t>P2</t>
        </is>
      </c>
      <c r="F140" s="29" t="inlineStr">
        <is>
          <t>Integration</t>
        </is>
      </c>
      <c r="G140" s="27" t="inlineStr">
        <is>
          <t>Foydalanuvchi Usta sifatida tizimga kirgan; buyurtma ball bilan to'langan</t>
        </is>
      </c>
      <c r="H140" s="27" t="inlineStr">
        <is>
          <t>1. Buyurtmani bekor qilish
2. «Ballar»ni ochish</t>
        </is>
      </c>
      <c r="I140" s="27" t="inlineStr"/>
      <c r="J140" s="27" t="inlineStr">
        <is>
          <t>Ballar balansga qaytdi; to'lov holati yangilandi</t>
        </is>
      </c>
      <c r="K140" s="27" t="inlineStr">
        <is>
          <t>PRD Point</t>
        </is>
      </c>
      <c r="L140" s="29" t="inlineStr">
        <is>
          <t>Qisman</t>
        </is>
      </c>
      <c r="M140" s="27" t="inlineStr">
        <is>
          <t>Balansda ball kerak</t>
        </is>
      </c>
      <c r="N140" s="29" t="inlineStr">
        <is>
          <t>Avtomatlashtirilmagan</t>
        </is>
      </c>
      <c r="O140" s="27" t="inlineStr"/>
      <c r="P140" s="29" t="inlineStr">
        <is>
          <t>Bajarilmagan</t>
        </is>
      </c>
      <c r="Q140" s="27" t="inlineStr"/>
    </row>
    <row r="141" ht="34" customHeight="1">
      <c r="A141" s="30" t="inlineStr">
        <is>
          <t>PRF-001</t>
        </is>
      </c>
      <c r="B141" s="31" t="inlineStr">
        <is>
          <t>Shaxsiy ma'lumotlar va manzillar</t>
        </is>
      </c>
      <c r="C141" s="31" t="inlineStr">
        <is>
          <t>Shaxsiy ma'lumotlar</t>
        </is>
      </c>
      <c r="D141" s="32" t="inlineStr">
        <is>
          <t>Shaxsiy ma'lumotlar va statusni ko'rsatish</t>
        </is>
      </c>
      <c r="E141" s="33" t="inlineStr">
        <is>
          <t>P1</t>
        </is>
      </c>
      <c r="F141" s="33" t="inlineStr">
        <is>
          <t>Smoke</t>
        </is>
      </c>
      <c r="G141" s="31" t="inlineStr">
        <is>
          <t>Foydalanuvchi Usta sifatida tizimga kirgan</t>
        </is>
      </c>
      <c r="H141" s="31" t="inlineStr">
        <is>
          <t>1. «Profil» → «Shaxsiy ma'lumotlarim»ni ochish</t>
        </is>
      </c>
      <c r="I141" s="31" t="inlineStr"/>
      <c r="J141" s="31" t="inlineStr">
        <is>
          <t>Ism, familiya, telefon, jins; «Status: Master» nishoni; yetkazib berish manzillari ro'yxati</t>
        </is>
      </c>
      <c r="K141" s="31" t="inlineStr"/>
      <c r="L141" s="33" t="inlineStr">
        <is>
          <t>Ha</t>
        </is>
      </c>
      <c r="M141" s="31" t="inlineStr"/>
      <c r="N141" s="33" t="inlineStr">
        <is>
          <t>Avtomatlashtirilmagan</t>
        </is>
      </c>
      <c r="O141" s="31" t="inlineStr"/>
      <c r="P141" s="33" t="inlineStr">
        <is>
          <t>Bajarilmagan</t>
        </is>
      </c>
      <c r="Q141" s="31" t="inlineStr"/>
    </row>
    <row r="142" ht="62" customHeight="1">
      <c r="A142" s="30" t="inlineStr">
        <is>
          <t>PRF-002</t>
        </is>
      </c>
      <c r="B142" s="31" t="inlineStr">
        <is>
          <t>Shaxsiy ma'lumotlar va manzillar</t>
        </is>
      </c>
      <c r="C142" s="31" t="inlineStr">
        <is>
          <t>Shaxsiy ma'lumotlar</t>
        </is>
      </c>
      <c r="D142" s="32" t="inlineStr">
        <is>
          <t>Ism, familiya va jinsni tahrirlash</t>
        </is>
      </c>
      <c r="E142" s="33" t="inlineStr">
        <is>
          <t>P2</t>
        </is>
      </c>
      <c r="F142" s="33" t="inlineStr">
        <is>
          <t>Functional</t>
        </is>
      </c>
      <c r="G142" s="31" t="inlineStr">
        <is>
          <t>Foydalanuvchi Usta sifatida tizimga kirgan</t>
        </is>
      </c>
      <c r="H142" s="31" t="inlineStr">
        <is>
          <t>1. «O'zgartirish»ni bosish
2. Ism/jinsni o'zgartirish
3. «Saqlash»
4. Asl qiymatlarni qaytarish</t>
        </is>
      </c>
      <c r="I142" s="31" t="inlineStr"/>
      <c r="J142" s="31" t="inlineStr">
        <is>
          <t>Ma'lumotlar saqlandi va profilda hamda sarlavhada ko'rinadi</t>
        </is>
      </c>
      <c r="K142" s="31" t="inlineStr"/>
      <c r="L142" s="33" t="inlineStr">
        <is>
          <t>Ha</t>
        </is>
      </c>
      <c r="M142" s="31" t="inlineStr">
        <is>
          <t>Test asl ma'lumotlarni qaytaradi</t>
        </is>
      </c>
      <c r="N142" s="33" t="inlineStr">
        <is>
          <t>Avtomatlashtirilmagan</t>
        </is>
      </c>
      <c r="O142" s="31" t="inlineStr"/>
      <c r="P142" s="33" t="inlineStr">
        <is>
          <t>Bajarilmagan</t>
        </is>
      </c>
      <c r="Q142" s="31" t="inlineStr"/>
    </row>
    <row r="143" ht="48" customHeight="1">
      <c r="A143" s="30" t="inlineStr">
        <is>
          <t>PRF-003</t>
        </is>
      </c>
      <c r="B143" s="31" t="inlineStr">
        <is>
          <t>Shaxsiy ma'lumotlar va manzillar</t>
        </is>
      </c>
      <c r="C143" s="31" t="inlineStr">
        <is>
          <t>Shaxsiy ma'lumotlar</t>
        </is>
      </c>
      <c r="D143" s="32" t="inlineStr">
        <is>
          <t>O'zgarishsiz «Saqlash» faol emas; «Bekor qilish» saqlamaydi</t>
        </is>
      </c>
      <c r="E143" s="33" t="inlineStr">
        <is>
          <t>P3</t>
        </is>
      </c>
      <c r="F143" s="33" t="inlineStr">
        <is>
          <t>Functional</t>
        </is>
      </c>
      <c r="G143" s="31" t="inlineStr">
        <is>
          <t>Foydalanuvchi Usta sifatida tizimga kirgan</t>
        </is>
      </c>
      <c r="H143" s="31" t="inlineStr">
        <is>
          <t>1. «O'zgartirish»ni ochish
2. «Saqlash» tugmasini tekshirish
3. Maydonni o'zgartirib «Bekor qilish»ni bosish</t>
        </is>
      </c>
      <c r="I143" s="31" t="inlineStr"/>
      <c r="J143" s="31" t="inlineStr">
        <is>
          <t>O'zgarishsiz «Saqlash» faol emas; «Bekor qilish»dan keyin ma'lumotlar avvalgidek</t>
        </is>
      </c>
      <c r="K143" s="31" t="inlineStr"/>
      <c r="L143" s="33" t="inlineStr">
        <is>
          <t>Ha</t>
        </is>
      </c>
      <c r="M143" s="31" t="inlineStr"/>
      <c r="N143" s="33" t="inlineStr">
        <is>
          <t>Avtomatlashtirilmagan</t>
        </is>
      </c>
      <c r="O143" s="31" t="inlineStr"/>
      <c r="P143" s="33" t="inlineStr">
        <is>
          <t>Bajarilmagan</t>
        </is>
      </c>
      <c r="Q143" s="31" t="inlineStr"/>
    </row>
    <row r="144" ht="48" customHeight="1">
      <c r="A144" s="30" t="inlineStr">
        <is>
          <t>PRF-004</t>
        </is>
      </c>
      <c r="B144" s="31" t="inlineStr">
        <is>
          <t>Shaxsiy ma'lumotlar va manzillar</t>
        </is>
      </c>
      <c r="C144" s="31" t="inlineStr">
        <is>
          <t>Shaxsiy ma'lumotlar</t>
        </is>
      </c>
      <c r="D144" s="32" t="inlineStr">
        <is>
          <t>Bo'sh ism va familiya validatsiyasi</t>
        </is>
      </c>
      <c r="E144" s="33" t="inlineStr">
        <is>
          <t>P3</t>
        </is>
      </c>
      <c r="F144" s="33" t="inlineStr">
        <is>
          <t>Negative</t>
        </is>
      </c>
      <c r="G144" s="31" t="inlineStr">
        <is>
          <t>Foydalanuvchi Usta sifatida tizimga kirgan</t>
        </is>
      </c>
      <c r="H144" s="31" t="inlineStr">
        <is>
          <t>1. «O'zgartirish»ni ochish
2. Ismni tozalash
3. «Saqlash»</t>
        </is>
      </c>
      <c r="I144" s="31" t="inlineStr"/>
      <c r="J144" s="31" t="inlineStr">
        <is>
          <t>Validatsiya xatosi, saqlab bo'lmaydi</t>
        </is>
      </c>
      <c r="K144" s="31" t="inlineStr"/>
      <c r="L144" s="33" t="inlineStr">
        <is>
          <t>Ha</t>
        </is>
      </c>
      <c r="M144" s="31" t="inlineStr"/>
      <c r="N144" s="33" t="inlineStr">
        <is>
          <t>Avtomatlashtirilmagan</t>
        </is>
      </c>
      <c r="O144" s="31" t="inlineStr"/>
      <c r="P144" s="33" t="inlineStr">
        <is>
          <t>Bajarilmagan</t>
        </is>
      </c>
      <c r="Q144" s="31" t="inlineStr"/>
    </row>
    <row r="145" ht="48" customHeight="1">
      <c r="A145" s="30" t="inlineStr">
        <is>
          <t>PRF-005</t>
        </is>
      </c>
      <c r="B145" s="31" t="inlineStr">
        <is>
          <t>Shaxsiy ma'lumotlar va manzillar</t>
        </is>
      </c>
      <c r="C145" s="31" t="inlineStr">
        <is>
          <t>Shaxsiy ma'lumotlar</t>
        </is>
      </c>
      <c r="D145" s="32" t="inlineStr">
        <is>
          <t>Telefon raqamni almashtirish</t>
        </is>
      </c>
      <c r="E145" s="33" t="inlineStr">
        <is>
          <t>P2</t>
        </is>
      </c>
      <c r="F145" s="33" t="inlineStr">
        <is>
          <t>Functional</t>
        </is>
      </c>
      <c r="G145" s="31" t="inlineStr">
        <is>
          <t>Foydalanuvchi Usta sifatida tizimga kirgan</t>
        </is>
      </c>
      <c r="H145" s="31" t="inlineStr">
        <is>
          <t>1. Tahrirlash oynasida telefon yonidagi «O'zgartirish»ni bosish
2. Yangi raqam va SMS-kodni kiritish</t>
        </is>
      </c>
      <c r="I145" s="31" t="inlineStr"/>
      <c r="J145" s="31" t="inlineStr">
        <is>
          <t>Raqam o'zgardi, yangi raqam bilan kirish mumkin</t>
        </is>
      </c>
      <c r="K145" s="31" t="inlineStr"/>
      <c r="L145" s="33" t="inlineStr">
        <is>
          <t>Qisman</t>
        </is>
      </c>
      <c r="M145" s="31" t="inlineStr">
        <is>
          <t>OTP va ikkinchi raqam kerak; asosiy akkaunt uchun xavfli</t>
        </is>
      </c>
      <c r="N145" s="33" t="inlineStr">
        <is>
          <t>Avtomatlashtirilmagan</t>
        </is>
      </c>
      <c r="O145" s="31" t="inlineStr"/>
      <c r="P145" s="33" t="inlineStr">
        <is>
          <t>Bajarilmagan</t>
        </is>
      </c>
      <c r="Q145" s="31" t="inlineStr"/>
    </row>
    <row r="146" ht="62" customHeight="1">
      <c r="A146" s="30" t="inlineStr">
        <is>
          <t>PRF-006</t>
        </is>
      </c>
      <c r="B146" s="31" t="inlineStr">
        <is>
          <t>Shaxsiy ma'lumotlar va manzillar</t>
        </is>
      </c>
      <c r="C146" s="31" t="inlineStr">
        <is>
          <t>Manzillar</t>
        </is>
      </c>
      <c r="D146" s="32" t="inlineStr">
        <is>
          <t>Yangi manzil qo'shish</t>
        </is>
      </c>
      <c r="E146" s="33" t="inlineStr">
        <is>
          <t>P2</t>
        </is>
      </c>
      <c r="F146" s="33" t="inlineStr">
        <is>
          <t>Functional</t>
        </is>
      </c>
      <c r="G146" s="31" t="inlineStr">
        <is>
          <t>Foydalanuvchi Usta sifatida tizimga kirgan</t>
        </is>
      </c>
      <c r="H146" s="31" t="inlineStr">
        <is>
          <t>1. «Manzil qo'shish»
2. Viloyat, tuman, uy manzili, kirish yo'lagi, qavat, xonadon, mo'ljalni to'ldirish
3. «Saqlash»</t>
        </is>
      </c>
      <c r="I146" s="31" t="inlineStr">
        <is>
          <t>Toshkent shahar, Uchtepa tumani, Test 1</t>
        </is>
      </c>
      <c r="J146" s="31" t="inlineStr">
        <is>
          <t>Manzil «Yetkazib berish manzili» ro'yxatida paydo bo'ldi va rasmiylashtirishda mavjud</t>
        </is>
      </c>
      <c r="K146" s="31" t="inlineStr"/>
      <c r="L146" s="33" t="inlineStr">
        <is>
          <t>Ha</t>
        </is>
      </c>
      <c r="M146" s="31" t="inlineStr"/>
      <c r="N146" s="33" t="inlineStr">
        <is>
          <t>Avtomatlashtirilmagan</t>
        </is>
      </c>
      <c r="O146" s="31" t="inlineStr"/>
      <c r="P146" s="33" t="inlineStr">
        <is>
          <t>Bajarilmagan</t>
        </is>
      </c>
      <c r="Q146" s="31" t="inlineStr"/>
    </row>
    <row r="147" ht="34" customHeight="1">
      <c r="A147" s="30" t="inlineStr">
        <is>
          <t>PRF-007</t>
        </is>
      </c>
      <c r="B147" s="31" t="inlineStr">
        <is>
          <t>Shaxsiy ma'lumotlar va manzillar</t>
        </is>
      </c>
      <c r="C147" s="31" t="inlineStr">
        <is>
          <t>Manzillar</t>
        </is>
      </c>
      <c r="D147" s="32" t="inlineStr">
        <is>
          <t>Manzilning majburiy maydonlari validatsiyasi</t>
        </is>
      </c>
      <c r="E147" s="33" t="inlineStr">
        <is>
          <t>P2</t>
        </is>
      </c>
      <c r="F147" s="33" t="inlineStr">
        <is>
          <t>Negative</t>
        </is>
      </c>
      <c r="G147" s="31" t="inlineStr">
        <is>
          <t>Foydalanuvchi Usta sifatida tizimga kirgan</t>
        </is>
      </c>
      <c r="H147" s="31" t="inlineStr">
        <is>
          <t>1. «Manzil qo'shish»
2. «Uy manzili»ni bo'sh qoldirish</t>
        </is>
      </c>
      <c r="I147" s="31" t="inlineStr"/>
      <c r="J147" s="31" t="inlineStr">
        <is>
          <t>«Saqlash» faol emas / majburiy maydonlarda (viloyat, tuman, uy manzili) xato</t>
        </is>
      </c>
      <c r="K147" s="31" t="inlineStr"/>
      <c r="L147" s="33" t="inlineStr">
        <is>
          <t>Ha</t>
        </is>
      </c>
      <c r="M147" s="31" t="inlineStr"/>
      <c r="N147" s="33" t="inlineStr">
        <is>
          <t>Avtomatlashtirilmagan</t>
        </is>
      </c>
      <c r="O147" s="31" t="inlineStr"/>
      <c r="P147" s="33" t="inlineStr">
        <is>
          <t>Bajarilmagan</t>
        </is>
      </c>
      <c r="Q147" s="31" t="inlineStr"/>
    </row>
    <row r="148" ht="34" customHeight="1">
      <c r="A148" s="30" t="inlineStr">
        <is>
          <t>PRF-008</t>
        </is>
      </c>
      <c r="B148" s="31" t="inlineStr">
        <is>
          <t>Shaxsiy ma'lumotlar va manzillar</t>
        </is>
      </c>
      <c r="C148" s="31" t="inlineStr">
        <is>
          <t>Manzillar</t>
        </is>
      </c>
      <c r="D148" s="32" t="inlineStr">
        <is>
          <t>Asosiy manzilni belgilash</t>
        </is>
      </c>
      <c r="E148" s="33" t="inlineStr">
        <is>
          <t>P2</t>
        </is>
      </c>
      <c r="F148" s="33" t="inlineStr">
        <is>
          <t>Functional</t>
        </is>
      </c>
      <c r="G148" s="31" t="inlineStr">
        <is>
          <t>Foydalanuvchi Usta sifatida tizimga kirgan</t>
        </is>
      </c>
      <c r="H148" s="31" t="inlineStr">
        <is>
          <t>1. «Asosiy manzil sifatida belgilash» belgisi bilan manzil qo'shish</t>
        </is>
      </c>
      <c r="I148" s="31" t="inlineStr"/>
      <c r="J148" s="31" t="inlineStr">
        <is>
          <t>Manzil asosiy deb belgilangan va rasmiylashtirishda sukut bo'yicha qo'yiladi</t>
        </is>
      </c>
      <c r="K148" s="31" t="inlineStr"/>
      <c r="L148" s="33" t="inlineStr">
        <is>
          <t>Ha</t>
        </is>
      </c>
      <c r="M148" s="31" t="inlineStr"/>
      <c r="N148" s="33" t="inlineStr">
        <is>
          <t>Avtomatlashtirilmagan</t>
        </is>
      </c>
      <c r="O148" s="31" t="inlineStr"/>
      <c r="P148" s="33" t="inlineStr">
        <is>
          <t>Bajarilmagan</t>
        </is>
      </c>
      <c r="Q148" s="31" t="inlineStr"/>
    </row>
    <row r="149" ht="48" customHeight="1">
      <c r="A149" s="30" t="inlineStr">
        <is>
          <t>PRF-009</t>
        </is>
      </c>
      <c r="B149" s="31" t="inlineStr">
        <is>
          <t>Shaxsiy ma'lumotlar va manzillar</t>
        </is>
      </c>
      <c r="C149" s="31" t="inlineStr">
        <is>
          <t>Manzillar</t>
        </is>
      </c>
      <c r="D149" s="32" t="inlineStr">
        <is>
          <t>Manzilni tahrirlash va o'chirish</t>
        </is>
      </c>
      <c r="E149" s="33" t="inlineStr">
        <is>
          <t>P2</t>
        </is>
      </c>
      <c r="F149" s="33" t="inlineStr">
        <is>
          <t>Functional</t>
        </is>
      </c>
      <c r="G149" s="31" t="inlineStr">
        <is>
          <t>Foydalanuvchi Usta sifatida tizimga kirgan; test manzili bor</t>
        </is>
      </c>
      <c r="H149" s="31" t="inlineStr">
        <is>
          <t>1. Manzilni ochish
2. O'zgartirib saqlash
3. O'chirish</t>
        </is>
      </c>
      <c r="I149" s="31" t="inlineStr"/>
      <c r="J149" s="31" t="inlineStr">
        <is>
          <t>O'zgarishlar saqlandi; o'chirilgan manzil ro'yxatdan yo'qoldi</t>
        </is>
      </c>
      <c r="K149" s="31" t="inlineStr"/>
      <c r="L149" s="33" t="inlineStr">
        <is>
          <t>Ha</t>
        </is>
      </c>
      <c r="M149" s="31" t="inlineStr">
        <is>
          <t>UI da tahrirlash/o'chirish borligini aniqlashtirish</t>
        </is>
      </c>
      <c r="N149" s="33" t="inlineStr">
        <is>
          <t>Avtomatlashtirilmagan</t>
        </is>
      </c>
      <c r="O149" s="31" t="inlineStr"/>
      <c r="P149" s="33" t="inlineStr">
        <is>
          <t>Bajarilmagan</t>
        </is>
      </c>
      <c r="Q149" s="31" t="inlineStr"/>
    </row>
    <row r="150" ht="62" customHeight="1">
      <c r="A150" s="30" t="inlineStr">
        <is>
          <t>PRF-010</t>
        </is>
      </c>
      <c r="B150" s="31" t="inlineStr">
        <is>
          <t>Shaxsiy ma'lumotlar va manzillar</t>
        </is>
      </c>
      <c r="C150" s="31" t="inlineStr">
        <is>
          <t>Profil menyusi</t>
        </is>
      </c>
      <c r="D150" s="32" t="inlineStr">
        <is>
          <t>Profil menyusi bo'yicha navigatsiya</t>
        </is>
      </c>
      <c r="E150" s="33" t="inlineStr">
        <is>
          <t>P2</t>
        </is>
      </c>
      <c r="F150" s="33" t="inlineStr">
        <is>
          <t>Functional</t>
        </is>
      </c>
      <c r="G150" s="31" t="inlineStr">
        <is>
          <t>Foydalanuvchi Usta sifatida tizimga kirgan</t>
        </is>
      </c>
      <c r="H150" s="31" t="inlineStr">
        <is>
          <t>1. Profil menyusining barcha bandlarini ketma-ket ochish (Shaxsiy ma'lumotlarim, Mening buyurtmalarim, Ballar, Mening hamyonim, Bildirishnomalar, Mening so'rovlarim, Maxsus buyurtma)</t>
        </is>
      </c>
      <c r="I150" s="31" t="inlineStr"/>
      <c r="J150" s="31" t="inlineStr">
        <is>
          <t>Har bir band o'z sahifasini ochadi, faol band ajratilgan, sarlavha va «non bo'laklari» to'g'ri</t>
        </is>
      </c>
      <c r="K150" s="31" t="inlineStr"/>
      <c r="L150" s="33" t="inlineStr">
        <is>
          <t>Ha</t>
        </is>
      </c>
      <c r="M150" s="31" t="inlineStr"/>
      <c r="N150" s="33" t="inlineStr">
        <is>
          <t>Avtomatlashtirilmagan</t>
        </is>
      </c>
      <c r="O150" s="31" t="inlineStr"/>
      <c r="P150" s="33" t="inlineStr">
        <is>
          <t>Bajarilmagan</t>
        </is>
      </c>
      <c r="Q150" s="31" t="inlineStr"/>
    </row>
    <row r="151" ht="62" customHeight="1">
      <c r="A151" s="30" t="inlineStr">
        <is>
          <t>PRF-011</t>
        </is>
      </c>
      <c r="B151" s="31" t="inlineStr">
        <is>
          <t>Shaxsiy ma'lumotlar va manzillar</t>
        </is>
      </c>
      <c r="C151" s="31" t="inlineStr">
        <is>
          <t>Hisobni o'chirish</t>
        </is>
      </c>
      <c r="D151" s="32" t="inlineStr">
        <is>
          <t>Yakunlanmagan buyurtma bo'lsa o'chirish bloklanadi</t>
        </is>
      </c>
      <c r="E151" s="33" t="inlineStr">
        <is>
          <t>P2</t>
        </is>
      </c>
      <c r="F151" s="33" t="inlineStr">
        <is>
          <t>Negative</t>
        </is>
      </c>
      <c r="G151" s="31" t="inlineStr">
        <is>
          <t>Foydalanuvchi Usta sifatida tizimga kirgan; yakunlanmagan buyurtma bor</t>
        </is>
      </c>
      <c r="H151" s="31" t="inlineStr">
        <is>
          <t>1. «Hisobni o'chirish»ni bosish</t>
        </is>
      </c>
      <c r="I151" s="31" t="inlineStr"/>
      <c r="J151" s="31" t="inlineStr">
        <is>
          <t>Sabablar ro'yxati bilan oyna (yakunlanmagan buyurtmalar: N), o'chirish tugmasi yo'q — faqat «Orqaga» va yordam xizmati haqida qator; akkaunt o'chirilmadi</t>
        </is>
      </c>
      <c r="K151" s="31" t="inlineStr">
        <is>
          <t>PRD Hisobni o'chirish (AIDT-692) ACC-004–008</t>
        </is>
      </c>
      <c r="L151" s="33" t="inlineStr">
        <is>
          <t>Ha</t>
        </is>
      </c>
      <c r="M151" s="31" t="inlineStr">
        <is>
          <t>Xavfsiz: o'chirish bloklanadi</t>
        </is>
      </c>
      <c r="N151" s="33" t="inlineStr">
        <is>
          <t>Avtomatlashtirilmagan</t>
        </is>
      </c>
      <c r="O151" s="31" t="inlineStr"/>
      <c r="P151" s="33" t="inlineStr">
        <is>
          <t>Bajarilmagan</t>
        </is>
      </c>
      <c r="Q151" s="31" t="inlineStr"/>
    </row>
    <row r="152" ht="48" customHeight="1">
      <c r="A152" s="30" t="inlineStr">
        <is>
          <t>PRF-012</t>
        </is>
      </c>
      <c r="B152" s="31" t="inlineStr">
        <is>
          <t>Shaxsiy ma'lumotlar va manzillar</t>
        </is>
      </c>
      <c r="C152" s="31" t="inlineStr">
        <is>
          <t>Hisobni o'chirish</t>
        </is>
      </c>
      <c r="D152" s="32" t="inlineStr">
        <is>
          <t>Qarz yoki manfiy ball bo'lsa o'chirish bloklanadi</t>
        </is>
      </c>
      <c r="E152" s="33" t="inlineStr">
        <is>
          <t>P2</t>
        </is>
      </c>
      <c r="F152" s="33" t="inlineStr">
        <is>
          <t>Negative</t>
        </is>
      </c>
      <c r="G152" s="31" t="inlineStr">
        <is>
          <t>Foydalanuvchi Usta sifatida tizimga kirgan; to'lanmagan qarz va/yoki ball &lt; 0</t>
        </is>
      </c>
      <c r="H152" s="31" t="inlineStr">
        <is>
          <t>1. «Hisobni o'chirish»ni bosish</t>
        </is>
      </c>
      <c r="I152" s="31" t="inlineStr"/>
      <c r="J152" s="31" t="inlineStr">
        <is>
          <t>Barcha sabablar birdaniga, qiymatlari bilan ko'rsatiladi: qarz — so'mdagi summa, ball — manfiy qiymat; o'chirish yo'q</t>
        </is>
      </c>
      <c r="K152" s="31" t="inlineStr">
        <is>
          <t>PRD Hisobni o'chirish (AIDT-692) ACC-005–006</t>
        </is>
      </c>
      <c r="L152" s="33" t="inlineStr">
        <is>
          <t>Qisman</t>
        </is>
      </c>
      <c r="M152" s="31" t="inlineStr">
        <is>
          <t>Qarz/manfiy ball kerak (admin panel)</t>
        </is>
      </c>
      <c r="N152" s="33" t="inlineStr">
        <is>
          <t>Avtomatlashtirilmagan</t>
        </is>
      </c>
      <c r="O152" s="31" t="inlineStr"/>
      <c r="P152" s="33" t="inlineStr">
        <is>
          <t>Bajarilmagan</t>
        </is>
      </c>
      <c r="Q152" s="31" t="inlineStr"/>
    </row>
    <row r="153" ht="62" customHeight="1">
      <c r="A153" s="30" t="inlineStr">
        <is>
          <t>PRF-013</t>
        </is>
      </c>
      <c r="B153" s="31" t="inlineStr">
        <is>
          <t>Shaxsiy ma'lumotlar va manzillar</t>
        </is>
      </c>
      <c r="C153" s="31" t="inlineStr">
        <is>
          <t>Hisobni o'chirish</t>
        </is>
      </c>
      <c r="D153" s="32" t="inlineStr">
        <is>
          <t>Tasdiqlash oynasi va o'chirishni bekor qilish</t>
        </is>
      </c>
      <c r="E153" s="33" t="inlineStr">
        <is>
          <t>P3</t>
        </is>
      </c>
      <c r="F153" s="33" t="inlineStr">
        <is>
          <t>Functional</t>
        </is>
      </c>
      <c r="G153" s="31" t="inlineStr">
        <is>
          <t>Foydalanuvchi Usta sifatida tizimga kirgan; qarz, yakunlanmagan buyurtma yo'q, ball ≥ 0</t>
        </is>
      </c>
      <c r="H153" s="31" t="inlineStr">
        <is>
          <t>1. «Hisobni o'chirish»ni bosish
2. «Bekor qilish»ni bosish</t>
        </is>
      </c>
      <c r="I153" s="31" t="inlineStr"/>
      <c r="J153" s="31" t="inlineStr">
        <is>
          <t>Oyna ma'lumotlar va tarix yo'qolishi haqida ogohlantiradi; ball/hamyon &gt; 0 bo'lsa — yo'qoladigan summalar ko'rsatiladi (nol qatorlar ko'rsatilmaydi); «Bekor qilish» — asosiy tugma, akkaunt o'chirilmadi</t>
        </is>
      </c>
      <c r="K153" s="31" t="inlineStr">
        <is>
          <t>PRD Hisobni o'chirish (AIDT-692) ACC-009–013</t>
        </is>
      </c>
      <c r="L153" s="33" t="inlineStr">
        <is>
          <t>Ha</t>
        </is>
      </c>
      <c r="M153" s="31" t="inlineStr">
        <is>
          <t>Faqat bekor qilish!</t>
        </is>
      </c>
      <c r="N153" s="33" t="inlineStr">
        <is>
          <t>Avtomatlashtirilmagan</t>
        </is>
      </c>
      <c r="O153" s="31" t="inlineStr"/>
      <c r="P153" s="33" t="inlineStr">
        <is>
          <t>Bajarilmagan</t>
        </is>
      </c>
      <c r="Q153" s="31" t="inlineStr"/>
    </row>
    <row r="154" ht="48" customHeight="1">
      <c r="A154" s="30" t="inlineStr">
        <is>
          <t>PRF-014</t>
        </is>
      </c>
      <c r="B154" s="31" t="inlineStr">
        <is>
          <t>Shaxsiy ma'lumotlar va manzillar</t>
        </is>
      </c>
      <c r="C154" s="31" t="inlineStr">
        <is>
          <t>Hisobni o'chirish</t>
        </is>
      </c>
      <c r="D154" s="32" t="inlineStr">
        <is>
          <t>Akkauntni o'chirish va qayta ro'yxatdan o'tish</t>
        </is>
      </c>
      <c r="E154" s="33" t="inlineStr">
        <is>
          <t>P3</t>
        </is>
      </c>
      <c r="F154" s="33" t="inlineStr">
        <is>
          <t>Functional</t>
        </is>
      </c>
      <c r="G154" s="31" t="inlineStr">
        <is>
          <t>Majburiyatsiz alohida bir martalik test akkaunti</t>
        </is>
      </c>
      <c r="H154" s="31" t="inlineStr">
        <is>
          <t>1. «Hisobni o'chirish» → «Ha, o'chirilsin»
2. Shu raqam bilan qayta ro'yxatdan o'tish</t>
        </is>
      </c>
      <c r="I154" s="31" t="inlineStr"/>
      <c r="J154" s="31" t="inlineStr">
        <is>
          <t>Akkaunt o'chirildi, foydalanuvchi tizimdan chiqdi; shu raqamdagi yangi akkaunt — nol ball, hamyon va bo'sh tarix bilan</t>
        </is>
      </c>
      <c r="K154" s="31" t="inlineStr">
        <is>
          <t>PRD Hisobni o'chirish (AIDT-692) ACC-014–016</t>
        </is>
      </c>
      <c r="L154" s="33" t="inlineStr">
        <is>
          <t>Yo'q</t>
        </is>
      </c>
      <c r="M154" s="31" t="inlineStr">
        <is>
          <t>Destruktiv — faqat bir martalik akkauntda qo'lda</t>
        </is>
      </c>
      <c r="N154" s="33" t="inlineStr">
        <is>
          <t>Avtomatlashtirilmagan</t>
        </is>
      </c>
      <c r="O154" s="31" t="inlineStr"/>
      <c r="P154" s="33" t="inlineStr">
        <is>
          <t>Bajarilmagan</t>
        </is>
      </c>
      <c r="Q154" s="31" t="inlineStr"/>
    </row>
    <row r="155" ht="48" customHeight="1">
      <c r="A155" s="26" t="inlineStr">
        <is>
          <t>PTS-001</t>
        </is>
      </c>
      <c r="B155" s="27" t="inlineStr">
        <is>
          <t>Ballar</t>
        </is>
      </c>
      <c r="C155" s="27" t="inlineStr">
        <is>
          <t>Ballar</t>
        </is>
      </c>
      <c r="D155" s="28" t="inlineStr">
        <is>
          <t>«Ballar» sahifasi: balans va oylar jadvali</t>
        </is>
      </c>
      <c r="E155" s="29" t="inlineStr">
        <is>
          <t>P2</t>
        </is>
      </c>
      <c r="F155" s="29" t="inlineStr">
        <is>
          <t>Functional</t>
        </is>
      </c>
      <c r="G155" s="27" t="inlineStr">
        <is>
          <t>Foydalanuvchi Usta sifatida tizimga kirgan</t>
        </is>
      </c>
      <c r="H155" s="27" t="inlineStr">
        <is>
          <t>1. «Ballar»ni ochish</t>
        </is>
      </c>
      <c r="I155" s="27" t="inlineStr"/>
      <c r="J155" s="27" t="inlineStr">
        <is>
          <t>Joriy balans; jadval: oy, buyurtmalar, buyurtmalar narxi, jami ballar; ball tranzaksiyalari jadvali (bo'sh bo'lsa «Hali ballar hisoblanmagan»)</t>
        </is>
      </c>
      <c r="K155" s="27" t="inlineStr"/>
      <c r="L155" s="29" t="inlineStr">
        <is>
          <t>Ha</t>
        </is>
      </c>
      <c r="M155" s="27" t="inlineStr"/>
      <c r="N155" s="29" t="inlineStr">
        <is>
          <t>Avtomatlashtirilmagan</t>
        </is>
      </c>
      <c r="O155" s="27" t="inlineStr"/>
      <c r="P155" s="29" t="inlineStr">
        <is>
          <t>Bajarilmagan</t>
        </is>
      </c>
      <c r="Q155" s="27" t="inlineStr"/>
    </row>
    <row r="156" ht="34" customHeight="1">
      <c r="A156" s="26" t="inlineStr">
        <is>
          <t>PTS-002</t>
        </is>
      </c>
      <c r="B156" s="27" t="inlineStr">
        <is>
          <t>Ballar</t>
        </is>
      </c>
      <c r="C156" s="27" t="inlineStr">
        <is>
          <t>Ballar</t>
        </is>
      </c>
      <c r="D156" s="28" t="inlineStr">
        <is>
          <t>Oy va yil bo'yicha filtr</t>
        </is>
      </c>
      <c r="E156" s="29" t="inlineStr">
        <is>
          <t>P3</t>
        </is>
      </c>
      <c r="F156" s="29" t="inlineStr">
        <is>
          <t>Functional</t>
        </is>
      </c>
      <c r="G156" s="27" t="inlineStr">
        <is>
          <t>Foydalanuvchi Usta sifatida tizimga kirgan</t>
        </is>
      </c>
      <c r="H156" s="27" t="inlineStr">
        <is>
          <t>1. Oy va yilni almashtirish</t>
        </is>
      </c>
      <c r="I156" s="27" t="inlineStr"/>
      <c r="J156" s="27" t="inlineStr">
        <is>
          <t>Jadval ma'lumotlari tanlangan davrga mos</t>
        </is>
      </c>
      <c r="K156" s="27" t="inlineStr"/>
      <c r="L156" s="29" t="inlineStr">
        <is>
          <t>Ha</t>
        </is>
      </c>
      <c r="M156" s="27" t="inlineStr"/>
      <c r="N156" s="29" t="inlineStr">
        <is>
          <t>Avtomatlashtirilmagan</t>
        </is>
      </c>
      <c r="O156" s="27" t="inlineStr"/>
      <c r="P156" s="29" t="inlineStr">
        <is>
          <t>Bajarilmagan</t>
        </is>
      </c>
      <c r="Q156" s="27" t="inlineStr"/>
    </row>
    <row r="157" ht="48" customHeight="1">
      <c r="A157" s="26" t="inlineStr">
        <is>
          <t>PTS-003</t>
        </is>
      </c>
      <c r="B157" s="27" t="inlineStr">
        <is>
          <t>Ballar</t>
        </is>
      </c>
      <c r="C157" s="27" t="inlineStr">
        <is>
          <t>Ballar</t>
        </is>
      </c>
      <c r="D157" s="28" t="inlineStr">
        <is>
          <t>Buyurtma yetkazilgandan keyin 1% ball hisoblanishi</t>
        </is>
      </c>
      <c r="E157" s="29" t="inlineStr">
        <is>
          <t>P1</t>
        </is>
      </c>
      <c r="F157" s="29" t="inlineStr">
        <is>
          <t>Integration</t>
        </is>
      </c>
      <c r="G157" s="27" t="inlineStr">
        <is>
          <t>Foydalanuvchi Usta sifatida tizimga kirgan; buyurtma «Yetkazildi» holatiga o'tkazilgan</t>
        </is>
      </c>
      <c r="H157" s="27" t="inlineStr">
        <is>
          <t>1. Buyurtma tafsilotini ochish
2. «Ballar»ni ochish</t>
        </is>
      </c>
      <c r="I157" s="27" t="inlineStr">
        <is>
          <t>100 000 so'mlik buyurtma → 1 000 ball</t>
        </is>
      </c>
      <c r="J157" s="27" t="inlineStr">
        <is>
          <t>Buyurtma tafsilotida «To'plangan ballar» = buyurtma narxining 1%; «Ballar»dagi balans va oy jadvali shu summaga oshdi</t>
        </is>
      </c>
      <c r="K157" s="27" t="inlineStr">
        <is>
          <t>PRD My Orders §4.5; PRD Point</t>
        </is>
      </c>
      <c r="L157" s="29" t="inlineStr">
        <is>
          <t>Qisman</t>
        </is>
      </c>
      <c r="M157" s="27" t="inlineStr">
        <is>
          <t>Buyurtmani yakunlash uchun admin panel kerak</t>
        </is>
      </c>
      <c r="N157" s="29" t="inlineStr">
        <is>
          <t>Avtomatlashtirilmagan</t>
        </is>
      </c>
      <c r="O157" s="27" t="inlineStr"/>
      <c r="P157" s="29" t="inlineStr">
        <is>
          <t>Bajarilmagan</t>
        </is>
      </c>
      <c r="Q157" s="27" t="inlineStr"/>
    </row>
    <row r="158" ht="48" customHeight="1">
      <c r="A158" s="26" t="inlineStr">
        <is>
          <t>PTS-004</t>
        </is>
      </c>
      <c r="B158" s="27" t="inlineStr">
        <is>
          <t>Ballar</t>
        </is>
      </c>
      <c r="C158" s="27" t="inlineStr">
        <is>
          <t>Ballar</t>
        </is>
      </c>
      <c r="D158" s="28" t="inlineStr">
        <is>
          <t>Ball bilan to'lashda ball yechilishi</t>
        </is>
      </c>
      <c r="E158" s="29" t="inlineStr">
        <is>
          <t>P2</t>
        </is>
      </c>
      <c r="F158" s="29" t="inlineStr">
        <is>
          <t>Integration</t>
        </is>
      </c>
      <c r="G158" s="27" t="inlineStr">
        <is>
          <t>Foydalanuvchi Usta sifatida tizimga kirgan; ball bilan to'langan buyurtma berilgan</t>
        </is>
      </c>
      <c r="H158" s="27" t="inlineStr">
        <is>
          <t>1. «Ballar»ni ochish</t>
        </is>
      </c>
      <c r="I158" s="27" t="inlineStr"/>
      <c r="J158" s="27" t="inlineStr">
        <is>
          <t>Balans to'lov summasiga kamaydi</t>
        </is>
      </c>
      <c r="K158" s="27" t="inlineStr"/>
      <c r="L158" s="29" t="inlineStr">
        <is>
          <t>Qisman</t>
        </is>
      </c>
      <c r="M158" s="27" t="inlineStr"/>
      <c r="N158" s="29" t="inlineStr">
        <is>
          <t>Avtomatlashtirilmagan</t>
        </is>
      </c>
      <c r="O158" s="27" t="inlineStr"/>
      <c r="P158" s="29" t="inlineStr">
        <is>
          <t>Bajarilmagan</t>
        </is>
      </c>
      <c r="Q158" s="27" t="inlineStr"/>
    </row>
    <row r="159" ht="76" customHeight="1">
      <c r="A159" s="30" t="inlineStr">
        <is>
          <t>WLT-001</t>
        </is>
      </c>
      <c r="B159" s="31" t="inlineStr">
        <is>
          <t>Mening hamyonim (qarz)</t>
        </is>
      </c>
      <c r="C159" s="31" t="inlineStr">
        <is>
          <t>Hamyon</t>
        </is>
      </c>
      <c r="D159" s="32" t="inlineStr">
        <is>
          <t>«Mening hamyonim» xulosasi</t>
        </is>
      </c>
      <c r="E159" s="33" t="inlineStr">
        <is>
          <t>P2</t>
        </is>
      </c>
      <c r="F159" s="33" t="inlineStr">
        <is>
          <t>Functional</t>
        </is>
      </c>
      <c r="G159" s="31" t="inlineStr">
        <is>
          <t>Foydalanuvchi Usta sifatida tizimga kirgan</t>
        </is>
      </c>
      <c r="H159" s="31" t="inlineStr">
        <is>
          <t>1. «Mening hamyonim»ni ochish
2. «Qoldiq qarz» yonidagi ⓘ belgisiga sichqonchani olib borish</t>
        </is>
      </c>
      <c r="I159" s="31" t="inlineStr"/>
      <c r="J159" s="31" t="inlineStr">
        <is>
          <t>«Qoldiq qarz» = to'lanmagan Hamyon-buyurtmalar summasi − hamyon balansi (0 dan kam emas); qizil «Muddatidan o'tgan» kartochkasi (0 so'm bo'lsa ham ko'rinadi); yashil «Hamyon» = balans; izoh formulani tushuntiradi</t>
        </is>
      </c>
      <c r="K159" s="31" t="inlineStr">
        <is>
          <t>PRD My Wallet §2, FR-02–05, FR-13</t>
        </is>
      </c>
      <c r="L159" s="33" t="inlineStr">
        <is>
          <t>Ha</t>
        </is>
      </c>
      <c r="M159" s="31" t="inlineStr">
        <is>
          <t>Nolga teng bo'lmagan qiymatlar uchun qarz kerak (admin panel)</t>
        </is>
      </c>
      <c r="N159" s="33" t="inlineStr">
        <is>
          <t>Avtomatlashtirilmagan</t>
        </is>
      </c>
      <c r="O159" s="31" t="inlineStr"/>
      <c r="P159" s="33" t="inlineStr">
        <is>
          <t>Bajarilmagan</t>
        </is>
      </c>
      <c r="Q159" s="31" t="inlineStr"/>
    </row>
    <row r="160" ht="90" customHeight="1">
      <c r="A160" s="30" t="inlineStr">
        <is>
          <t>WLT-002</t>
        </is>
      </c>
      <c r="B160" s="31" t="inlineStr">
        <is>
          <t>Mening hamyonim (qarz)</t>
        </is>
      </c>
      <c r="C160" s="31" t="inlineStr">
        <is>
          <t>Hamyon</t>
        </is>
      </c>
      <c r="D160" s="32" t="inlineStr">
        <is>
          <t>Hamyon-buyurtmalar ro'yxati: holatlar va saralash</t>
        </is>
      </c>
      <c r="E160" s="33" t="inlineStr">
        <is>
          <t>P1</t>
        </is>
      </c>
      <c r="F160" s="33" t="inlineStr">
        <is>
          <t>Integration</t>
        </is>
      </c>
      <c r="G160" s="31" t="inlineStr">
        <is>
          <t>Foydalanuvchi Usta sifatida tizimga kirgan; admin ustaga hamyon ochgan: Debt Status = Open, Limit Summa &gt; 0, Limit Kun &gt; 0; turli holatdagi Hamyon-buyurtmalar bor</t>
        </is>
      </c>
      <c r="H160" s="31" t="inlineStr">
        <is>
          <t>1. «Mening hamyonim»ni ochish
2. «Barchasi / To'lanmagan / Muddatidan o'tgan»ni almashtirish</t>
        </is>
      </c>
      <c r="I160" s="31" t="inlineStr"/>
      <c r="J160" s="31" t="inlineStr">
        <is>
          <t>Kartochkalar: ID, muddat (KK oy, SS:dd), nishon (Muddati tugadi — qizil, Qo'shimcha muddat — to'q sariq, To'lanmadi — kulrang, To'landi — yashil), summa. Avval muddati o'tganlar, keyin eng yaqin muddat bo'yicha, to'langanlar pastda. Muddati «ertaga» — och qizil fon</t>
        </is>
      </c>
      <c r="K160" s="31" t="inlineStr">
        <is>
          <t>PRD My Wallet §3–4</t>
        </is>
      </c>
      <c r="L160" s="33" t="inlineStr">
        <is>
          <t>Qisman</t>
        </is>
      </c>
      <c r="M160" s="31" t="inlineStr">
        <is>
          <t>Turli holatdagi qarzlar kerak</t>
        </is>
      </c>
      <c r="N160" s="33" t="inlineStr">
        <is>
          <t>Avtomatlashtirilmagan</t>
        </is>
      </c>
      <c r="O160" s="31" t="inlineStr"/>
      <c r="P160" s="33" t="inlineStr">
        <is>
          <t>Bajarilmagan</t>
        </is>
      </c>
      <c r="Q160" s="31" t="inlineStr"/>
    </row>
    <row r="161" ht="48" customHeight="1">
      <c r="A161" s="30" t="inlineStr">
        <is>
          <t>WLT-003</t>
        </is>
      </c>
      <c r="B161" s="31" t="inlineStr">
        <is>
          <t>Mening hamyonim (qarz)</t>
        </is>
      </c>
      <c r="C161" s="31" t="inlineStr">
        <is>
          <t>Hamyon</t>
        </is>
      </c>
      <c r="D161" s="32" t="inlineStr">
        <is>
          <t>Bo'sh holat va buyurtmaga o'tish</t>
        </is>
      </c>
      <c r="E161" s="33" t="inlineStr">
        <is>
          <t>P3</t>
        </is>
      </c>
      <c r="F161" s="33" t="inlineStr">
        <is>
          <t>UI</t>
        </is>
      </c>
      <c r="G161" s="31" t="inlineStr">
        <is>
          <t>Foydalanuvchi Usta sifatida tizimga kirgan</t>
        </is>
      </c>
      <c r="H161" s="31" t="inlineStr">
        <is>
          <t>1. Hamyon-buyurtmalarsiz «Mening hamyonim»ni ochish
2. Buyurtmalar bo'lsa — kartochkani bosish</t>
        </is>
      </c>
      <c r="I161" s="31" t="inlineStr"/>
      <c r="J161" s="31" t="inlineStr">
        <is>
          <t>Belgi va tushunarli matn bilan bo'sh holat («no_orders» kabi kalitlarsiz); kartochka buyurtma tafsilotini ochadi</t>
        </is>
      </c>
      <c r="K161" s="31" t="inlineStr">
        <is>
          <t>PRD My Wallet FR-10, FR-12</t>
        </is>
      </c>
      <c r="L161" s="33" t="inlineStr">
        <is>
          <t>Ha</t>
        </is>
      </c>
      <c r="M161" s="31" t="inlineStr"/>
      <c r="N161" s="33" t="inlineStr">
        <is>
          <t>Avtomatlashtirilmagan</t>
        </is>
      </c>
      <c r="O161" s="31" t="inlineStr"/>
      <c r="P161" s="33" t="inlineStr">
        <is>
          <t>Bajarilmagan</t>
        </is>
      </c>
      <c r="Q161" s="31" t="inlineStr"/>
    </row>
    <row r="162" ht="76" customHeight="1">
      <c r="A162" s="30" t="inlineStr">
        <is>
          <t>WLT-004</t>
        </is>
      </c>
      <c r="B162" s="31" t="inlineStr">
        <is>
          <t>Mening hamyonim (qarz)</t>
        </is>
      </c>
      <c r="C162" s="31" t="inlineStr">
        <is>
          <t>Tranzaksiyalar</t>
        </is>
      </c>
      <c r="D162" s="32" t="inlineStr">
        <is>
          <t>Hamyon tranzaksiyalari</t>
        </is>
      </c>
      <c r="E162" s="33" t="inlineStr">
        <is>
          <t>P2</t>
        </is>
      </c>
      <c r="F162" s="33" t="inlineStr">
        <is>
          <t>Functional</t>
        </is>
      </c>
      <c r="G162" s="31" t="inlineStr">
        <is>
          <t>Foydalanuvchi Usta sifatida tizimga kirgan</t>
        </is>
      </c>
      <c r="H162" s="31" t="inlineStr">
        <is>
          <t>1. «Mening hamyonim» → «Hamyon» kartochkasini bosish
2. «Dan/Gacha» davri va turini berish</t>
        </is>
      </c>
      <c r="I162" s="31" t="inlineStr"/>
      <c r="J162" s="31" t="inlineStr">
        <is>
          <t>/profile/wallet/transactions ochildi: xulosa Balans / Kirimlar / Chiqimlar, davr va tur bo'yicha filtr, sanalar bo'yicha ro'yxat (+ yashil, − qizil); bo'sh → «Tranzaksiyalar yo'q»; «Dan» &gt; «Gacha» — qo'llab bo'lmaydi</t>
        </is>
      </c>
      <c r="K162" s="31" t="inlineStr">
        <is>
          <t>PRD Wallet transactions; staging'da tekshirilgan 28.10.2026</t>
        </is>
      </c>
      <c r="L162" s="33" t="inlineStr">
        <is>
          <t>Ha</t>
        </is>
      </c>
      <c r="M162" s="31" t="inlineStr">
        <is>
          <t>Vebda hozir xulosa yo'q — «Kamchiliklar»ga qarang</t>
        </is>
      </c>
      <c r="N162" s="33" t="inlineStr">
        <is>
          <t>Avtomatlashtirilmagan</t>
        </is>
      </c>
      <c r="O162" s="31" t="inlineStr"/>
      <c r="P162" s="33" t="inlineStr">
        <is>
          <t>Bajarilmagan</t>
        </is>
      </c>
      <c r="Q162" s="31" t="inlineStr"/>
    </row>
    <row r="163" ht="34" customHeight="1">
      <c r="A163" s="30" t="inlineStr">
        <is>
          <t>WLT-005</t>
        </is>
      </c>
      <c r="B163" s="31" t="inlineStr">
        <is>
          <t>Mening hamyonim (qarz)</t>
        </is>
      </c>
      <c r="C163" s="31" t="inlineStr">
        <is>
          <t>Tranzaksiyalar</t>
        </is>
      </c>
      <c r="D163" s="32" t="inlineStr">
        <is>
          <t>Admin hamyonni to'ldirishi ustada aks etadi</t>
        </is>
      </c>
      <c r="E163" s="33" t="inlineStr">
        <is>
          <t>P2</t>
        </is>
      </c>
      <c r="F163" s="33" t="inlineStr">
        <is>
          <t>Integration</t>
        </is>
      </c>
      <c r="G163" s="31" t="inlineStr">
        <is>
          <t>Foydalanuvchi Usta sifatida tizimga kirgan</t>
        </is>
      </c>
      <c r="H163" s="31" t="inlineStr">
        <is>
          <t>1. Admin ustaning hamyonini 50 000 ga to'ldiradi
2. Usta «Hamyon tranzaksiyalari»ni ochadi</t>
        </is>
      </c>
      <c r="I163" s="31" t="inlineStr"/>
      <c r="J163" s="31" t="inlineStr">
        <is>
          <t>«Hamyon kirim» tranzaksiyasi +50 000, balans oshdi; «Qoldiq qarz» shu summaga kamaydi</t>
        </is>
      </c>
      <c r="K163" s="31" t="inlineStr">
        <is>
          <t>PRD Wallet transactions; PRD Wallet</t>
        </is>
      </c>
      <c r="L163" s="33" t="inlineStr">
        <is>
          <t>Qisman</t>
        </is>
      </c>
      <c r="M163" s="31" t="inlineStr">
        <is>
          <t>To'ldirish — admin panelda</t>
        </is>
      </c>
      <c r="N163" s="33" t="inlineStr">
        <is>
          <t>Avtomatlashtirilmagan</t>
        </is>
      </c>
      <c r="O163" s="31" t="inlineStr"/>
      <c r="P163" s="33" t="inlineStr">
        <is>
          <t>Bajarilmagan</t>
        </is>
      </c>
      <c r="Q163" s="31" t="inlineStr"/>
    </row>
    <row r="164" ht="90" customHeight="1">
      <c r="A164" s="30" t="inlineStr">
        <is>
          <t>WLT-006</t>
        </is>
      </c>
      <c r="B164" s="31" t="inlineStr">
        <is>
          <t>Mening hamyonim (qarz)</t>
        </is>
      </c>
      <c r="C164" s="31" t="inlineStr">
        <is>
          <t>Qarz</t>
        </is>
      </c>
      <c r="D164" s="32" t="inlineStr">
        <is>
          <t>Qarzni to'lash va muddatni uzaytirish ustada aks etadi</t>
        </is>
      </c>
      <c r="E164" s="33" t="inlineStr">
        <is>
          <t>P2</t>
        </is>
      </c>
      <c r="F164" s="33" t="inlineStr">
        <is>
          <t>Integration</t>
        </is>
      </c>
      <c r="G164" s="31" t="inlineStr">
        <is>
          <t>Foydalanuvchi Usta sifatida tizimga kirgan; admin ustaga hamyon ochgan: Debt Status = Open, Limit Summa &gt; 0, Limit Kun &gt; 0; to'lanmagan Hamyon-buyurtma bor</t>
        </is>
      </c>
      <c r="H164" s="31" t="inlineStr">
        <is>
          <t>1. Admin muddatni uzaytiradi — holatni tekshirish
2. Admin qarzni yopadi («Qarzni to'lash») — tekshirish</t>
        </is>
      </c>
      <c r="I164" s="31" t="inlineStr"/>
      <c r="J164" s="31" t="inlineStr">
        <is>
          <t>Uzaytirilgandan keyin — «Qo'shimcha muddat» yangi muddat bilan; to'langandan keyin — «To'landi», buyurtma tafsilotida to'lov sanasi, qarz kamaydi</t>
        </is>
      </c>
      <c r="K164" s="31" t="inlineStr">
        <is>
          <t>PRD My Wallet §4; PRD Pay Debt</t>
        </is>
      </c>
      <c r="L164" s="33" t="inlineStr">
        <is>
          <t>Qisman</t>
        </is>
      </c>
      <c r="M164" s="31" t="inlineStr">
        <is>
          <t>Admin paneldagi amallar</t>
        </is>
      </c>
      <c r="N164" s="33" t="inlineStr">
        <is>
          <t>Avtomatlashtirilmagan</t>
        </is>
      </c>
      <c r="O164" s="31" t="inlineStr"/>
      <c r="P164" s="33" t="inlineStr">
        <is>
          <t>Bajarilmagan</t>
        </is>
      </c>
      <c r="Q164" s="31" t="inlineStr"/>
    </row>
    <row r="165" ht="48" customHeight="1">
      <c r="A165" s="26" t="inlineStr">
        <is>
          <t>NTF-001</t>
        </is>
      </c>
      <c r="B165" s="27" t="inlineStr">
        <is>
          <t>Bildirishnomalar</t>
        </is>
      </c>
      <c r="C165" s="27" t="inlineStr">
        <is>
          <t>Bildirishnomalar</t>
        </is>
      </c>
      <c r="D165" s="28" t="inlineStr">
        <is>
          <t>Bildirishnomalar ro'yxati</t>
        </is>
      </c>
      <c r="E165" s="29" t="inlineStr">
        <is>
          <t>P2</t>
        </is>
      </c>
      <c r="F165" s="29" t="inlineStr">
        <is>
          <t>Functional</t>
        </is>
      </c>
      <c r="G165" s="27" t="inlineStr">
        <is>
          <t>Foydalanuvchi Usta sifatida tizimga kirgan</t>
        </is>
      </c>
      <c r="H165" s="27" t="inlineStr">
        <is>
          <t>1. «Bildirishnomalar»ni ochish</t>
        </is>
      </c>
      <c r="I165" s="27" t="inlineStr"/>
      <c r="J165" s="27" t="inlineStr">
        <is>
          <t>Bildirishnomalar sanalar bo'yicha guruhlangan («Bugun», sanalar); har birida sarlavha, matn, sana va vaqt; 20 tadan yuklanadi</t>
        </is>
      </c>
      <c r="K165" s="27" t="inlineStr">
        <is>
          <t>PRD Notifications</t>
        </is>
      </c>
      <c r="L165" s="29" t="inlineStr">
        <is>
          <t>Ha</t>
        </is>
      </c>
      <c r="M165" s="27" t="inlineStr"/>
      <c r="N165" s="29" t="inlineStr">
        <is>
          <t>Avtomatlashtirilmagan</t>
        </is>
      </c>
      <c r="O165" s="27" t="inlineStr"/>
      <c r="P165" s="29" t="inlineStr">
        <is>
          <t>Bajarilmagan</t>
        </is>
      </c>
      <c r="Q165" s="27" t="inlineStr"/>
    </row>
    <row r="166" ht="62" customHeight="1">
      <c r="A166" s="26" t="inlineStr">
        <is>
          <t>NTF-002</t>
        </is>
      </c>
      <c r="B166" s="27" t="inlineStr">
        <is>
          <t>Bildirishnomalar</t>
        </is>
      </c>
      <c r="C166" s="27" t="inlineStr">
        <is>
          <t>Bildirishnomalar</t>
        </is>
      </c>
      <c r="D166" s="28" t="inlineStr">
        <is>
          <t>Buyurtma yaratilishi va bekor qilinishi haqida bildirishnomalar</t>
        </is>
      </c>
      <c r="E166" s="29" t="inlineStr">
        <is>
          <t>P2</t>
        </is>
      </c>
      <c r="F166" s="29" t="inlineStr">
        <is>
          <t>Functional</t>
        </is>
      </c>
      <c r="G166" s="27" t="inlineStr">
        <is>
          <t>Foydalanuvchi Usta sifatida tizimga kirgan</t>
        </is>
      </c>
      <c r="H166" s="27" t="inlineStr">
        <is>
          <t>1. Buyurtma berish
2. Uni «Xato qilib buyurtma qilib yuboribman» sababi bilan bekor qilish
3. «Bildirishnomalar»ni ochish</t>
        </is>
      </c>
      <c r="I166" s="27" t="inlineStr"/>
      <c r="J166" s="27" t="inlineStr">
        <is>
          <t>«Buyurtmangiz qabul qilindi»; «Buyurtmangiz bekor qilindi.» va matn «Siz buyurtmani bekor qildingiz. Sabab: adashib buyurtma berilgan.»</t>
        </is>
      </c>
      <c r="K166" s="27" t="inlineStr">
        <is>
          <t>PRD Buyurtmani bekor qilish §6.2; staging'da tekshirilgan 28.10.2026</t>
        </is>
      </c>
      <c r="L166" s="29" t="inlineStr">
        <is>
          <t>Ha</t>
        </is>
      </c>
      <c r="M166" s="27" t="inlineStr">
        <is>
          <t>Bekor qilish matni hozir PRD ga mos emas — «Kamchiliklar»ga qarang</t>
        </is>
      </c>
      <c r="N166" s="29" t="inlineStr">
        <is>
          <t>Avtomatlashtirilmagan</t>
        </is>
      </c>
      <c r="O166" s="27" t="inlineStr"/>
      <c r="P166" s="29" t="inlineStr">
        <is>
          <t>Bajarilmagan</t>
        </is>
      </c>
      <c r="Q166" s="27" t="inlineStr"/>
    </row>
    <row r="167" ht="76" customHeight="1">
      <c r="A167" s="26" t="inlineStr">
        <is>
          <t>NTF-003</t>
        </is>
      </c>
      <c r="B167" s="27" t="inlineStr">
        <is>
          <t>Bildirishnomalar</t>
        </is>
      </c>
      <c r="C167" s="27" t="inlineStr">
        <is>
          <t>Bildirishnomalar</t>
        </is>
      </c>
      <c r="D167" s="28" t="inlineStr">
        <is>
          <t>Admin bekor qilganda — sababli bildirishnoma</t>
        </is>
      </c>
      <c r="E167" s="29" t="inlineStr">
        <is>
          <t>P3</t>
        </is>
      </c>
      <c r="F167" s="29" t="inlineStr">
        <is>
          <t>Integration</t>
        </is>
      </c>
      <c r="G167" s="27" t="inlineStr">
        <is>
          <t>Foydalanuvchi Usta sifatida tizimga kirgan; admin buyurtmani «Mijoz bilan aloqaga chiqa olmadik» sababi bilan bekor qilgan</t>
        </is>
      </c>
      <c r="H167" s="27" t="inlineStr">
        <is>
          <t>1. «Bildirishnomalar» va buyurtma tafsilotini ochish</t>
        </is>
      </c>
      <c r="I167" s="27" t="inlineStr"/>
      <c r="J167" s="27" t="inlineStr">
        <is>
          <t>«Buyurtmangiz bekor qilindi.» + «Siz bilan telefon orqali bog'lana olmaganimiz sababli buyurtma bekor qilindi…»; buyurtma tafsilotida ham shu sabab</t>
        </is>
      </c>
      <c r="K167" s="27" t="inlineStr">
        <is>
          <t>PRD Buyurtmani bekor qilish §6.1</t>
        </is>
      </c>
      <c r="L167" s="29" t="inlineStr">
        <is>
          <t>Qisman</t>
        </is>
      </c>
      <c r="M167" s="27" t="inlineStr">
        <is>
          <t>Bekor qilish admin panelda</t>
        </is>
      </c>
      <c r="N167" s="29" t="inlineStr">
        <is>
          <t>Avtomatlashtirilmagan</t>
        </is>
      </c>
      <c r="O167" s="27" t="inlineStr"/>
      <c r="P167" s="29" t="inlineStr">
        <is>
          <t>Bajarilmagan</t>
        </is>
      </c>
      <c r="Q167" s="27" t="inlineStr"/>
    </row>
    <row r="168" ht="62" customHeight="1">
      <c r="A168" s="26" t="inlineStr">
        <is>
          <t>NTF-004</t>
        </is>
      </c>
      <c r="B168" s="27" t="inlineStr">
        <is>
          <t>Bildirishnomalar</t>
        </is>
      </c>
      <c r="C168" s="27" t="inlineStr">
        <is>
          <t>Bildirishnomalar</t>
        </is>
      </c>
      <c r="D168" s="28" t="inlineStr">
        <is>
          <t>Maxsus buyurtma bildirishnomasi hujjatga olib boradi</t>
        </is>
      </c>
      <c r="E168" s="29" t="inlineStr">
        <is>
          <t>P2</t>
        </is>
      </c>
      <c r="F168" s="29" t="inlineStr">
        <is>
          <t>Integration</t>
        </is>
      </c>
      <c r="G168" s="27" t="inlineStr">
        <is>
          <t>Foydalanuvchi Usta sifatida tizimga kirgan; admin maxsus buyurtma yuborgan</t>
        </is>
      </c>
      <c r="H168" s="27" t="inlineStr">
        <is>
          <t>1. «Bildirishnomalar»ni ochish
2. Maxsus buyurtma bildirishnomasini bosish</t>
        </is>
      </c>
      <c r="I168" s="27" t="inlineStr"/>
      <c r="J168" s="27" t="inlineStr">
        <is>
          <t>Matn: maxsus buyurtma ID, mahsulotlar soni, jami summa; bosilganda shu maxsus buyurtma ochiladi; o'chirilgan bo'lsa — «Buyurtma topilmadi», sahifada qolinadi</t>
        </is>
      </c>
      <c r="K168" s="27" t="inlineStr">
        <is>
          <t>PRD Notifications §5.2</t>
        </is>
      </c>
      <c r="L168" s="29" t="inlineStr">
        <is>
          <t>Qisman</t>
        </is>
      </c>
      <c r="M168" s="27" t="inlineStr">
        <is>
          <t>Hujjat admin panelda yaratiladi</t>
        </is>
      </c>
      <c r="N168" s="29" t="inlineStr">
        <is>
          <t>Avtomatlashtirilmagan</t>
        </is>
      </c>
      <c r="O168" s="27" t="inlineStr"/>
      <c r="P168" s="29" t="inlineStr">
        <is>
          <t>Bajarilmagan</t>
        </is>
      </c>
      <c r="Q168" s="27" t="inlineStr"/>
    </row>
    <row r="169" ht="90" customHeight="1">
      <c r="A169" s="26" t="inlineStr">
        <is>
          <t>NTF-005</t>
        </is>
      </c>
      <c r="B169" s="27" t="inlineStr">
        <is>
          <t>Bildirishnomalar</t>
        </is>
      </c>
      <c r="C169" s="27" t="inlineStr">
        <is>
          <t>Bildirishnomalar</t>
        </is>
      </c>
      <c r="D169" s="28" t="inlineStr">
        <is>
          <t>Qarz muddati haqida eslatmalar</t>
        </is>
      </c>
      <c r="E169" s="29" t="inlineStr">
        <is>
          <t>P2</t>
        </is>
      </c>
      <c r="F169" s="29" t="inlineStr">
        <is>
          <t>Integration</t>
        </is>
      </c>
      <c r="G169" s="27" t="inlineStr">
        <is>
          <t>Foydalanuvchi Usta sifatida tizimga kirgan; admin ustaga hamyon ochgan: Debt Status = Open, Limit Summa &gt; 0, Limit Kun &gt; 0; Hamyon-buyurtma yetkazilgan, muddat ertaga</t>
        </is>
      </c>
      <c r="H169" s="27" t="inlineStr">
        <is>
          <t>1. Muddatdan oldingi kun soat 09:00 ni kutish
2. «Muddat − 2 soat» vaqtini kutish</t>
        </is>
      </c>
      <c r="I169" s="27" t="inlineStr"/>
      <c r="J169" s="27" t="inlineStr">
        <is>
          <t>Bir kun oldin 09:00 da — «Qarz muddati ertaga tugaydi…»; 2 soat oldin — «Qarz muddati tugashiga 2 soat qoldi…»; qarz to'langan bo'lsa — eslatma kelmaydi; bosilganda «Mening hamyonim»ga o'tadi</t>
        </is>
      </c>
      <c r="K169" s="27" t="inlineStr">
        <is>
          <t>PRD Notifications §5.3</t>
        </is>
      </c>
      <c r="L169" s="29" t="inlineStr">
        <is>
          <t>Yo'q</t>
        </is>
      </c>
      <c r="M169" s="27" t="inlineStr">
        <is>
          <t>Haqiqiy vaqtga bog'langan (cron); qo'lda/API orqali tekshirish</t>
        </is>
      </c>
      <c r="N169" s="29" t="inlineStr">
        <is>
          <t>Avtomatlashtirilmagan</t>
        </is>
      </c>
      <c r="O169" s="27" t="inlineStr"/>
      <c r="P169" s="29" t="inlineStr">
        <is>
          <t>Bajarilmagan</t>
        </is>
      </c>
      <c r="Q169" s="27" t="inlineStr"/>
    </row>
    <row r="170" ht="48" customHeight="1">
      <c r="A170" s="26" t="inlineStr">
        <is>
          <t>NTF-006</t>
        </is>
      </c>
      <c r="B170" s="27" t="inlineStr">
        <is>
          <t>Bildirishnomalar</t>
        </is>
      </c>
      <c r="C170" s="27" t="inlineStr">
        <is>
          <t>Bildirishnomalar</t>
        </is>
      </c>
      <c r="D170" s="28" t="inlineStr">
        <is>
          <t>O'qilgan/o'qilmagan holat va hisoblagich</t>
        </is>
      </c>
      <c r="E170" s="29" t="inlineStr">
        <is>
          <t>P3</t>
        </is>
      </c>
      <c r="F170" s="29" t="inlineStr">
        <is>
          <t>Functional</t>
        </is>
      </c>
      <c r="G170" s="27" t="inlineStr">
        <is>
          <t>Foydalanuvchi Usta sifatida tizimga kirgan; o'qilmaganlar bor</t>
        </is>
      </c>
      <c r="H170" s="27" t="inlineStr">
        <is>
          <t>1. Profildagi nishonni ko'rish
2. «Bildirishnomalar»ni ochish</t>
        </is>
      </c>
      <c r="I170" s="27" t="inlineStr"/>
      <c r="J170" s="27" t="inlineStr">
        <is>
          <t>Nishon = o'qilmaganlar soni; ko'rilgandan keyin bildirishnomalar o'qilgan deb belgilanadi, nishon kamayadi</t>
        </is>
      </c>
      <c r="K170" s="27" t="inlineStr">
        <is>
          <t>PRD Notifications §2.2</t>
        </is>
      </c>
      <c r="L170" s="29" t="inlineStr">
        <is>
          <t>Ha</t>
        </is>
      </c>
      <c r="M170" s="27" t="inlineStr"/>
      <c r="N170" s="29" t="inlineStr">
        <is>
          <t>Avtomatlashtirilmagan</t>
        </is>
      </c>
      <c r="O170" s="27" t="inlineStr"/>
      <c r="P170" s="29" t="inlineStr">
        <is>
          <t>Bajarilmagan</t>
        </is>
      </c>
      <c r="Q170" s="27" t="inlineStr"/>
    </row>
    <row r="171" ht="34" customHeight="1">
      <c r="A171" s="30" t="inlineStr">
        <is>
          <t>REQ-001</t>
        </is>
      </c>
      <c r="B171" s="31" t="inlineStr">
        <is>
          <t>Mening so'rovlarim</t>
        </is>
      </c>
      <c r="C171" s="31" t="inlineStr">
        <is>
          <t>So'rovlar</t>
        </is>
      </c>
      <c r="D171" s="32" t="inlineStr">
        <is>
          <t>«Usta» / «Hamkor» tablari</t>
        </is>
      </c>
      <c r="E171" s="33" t="inlineStr">
        <is>
          <t>P2</t>
        </is>
      </c>
      <c r="F171" s="33" t="inlineStr">
        <is>
          <t>Functional</t>
        </is>
      </c>
      <c r="G171" s="31" t="inlineStr">
        <is>
          <t>Foydalanuvchi Usta sifatida tizimga kirgan</t>
        </is>
      </c>
      <c r="H171" s="31" t="inlineStr">
        <is>
          <t>1. «Mening so'rovlarim»ni ochish
2. Tablarni almashtirish</t>
        </is>
      </c>
      <c r="I171" s="31" t="inlineStr"/>
      <c r="J171" s="31" t="inlineStr">
        <is>
          <t>Tegishli turdagi arizalar ko'rsatiladi</t>
        </is>
      </c>
      <c r="K171" s="31" t="inlineStr"/>
      <c r="L171" s="33" t="inlineStr">
        <is>
          <t>Ha</t>
        </is>
      </c>
      <c r="M171" s="31" t="inlineStr"/>
      <c r="N171" s="33" t="inlineStr">
        <is>
          <t>Avtomatlashtirilmagan</t>
        </is>
      </c>
      <c r="O171" s="31" t="inlineStr"/>
      <c r="P171" s="33" t="inlineStr">
        <is>
          <t>Bajarilmagan</t>
        </is>
      </c>
      <c r="Q171" s="31" t="inlineStr"/>
    </row>
    <row r="172" ht="34" customHeight="1">
      <c r="A172" s="30" t="inlineStr">
        <is>
          <t>REQ-002</t>
        </is>
      </c>
      <c r="B172" s="31" t="inlineStr">
        <is>
          <t>Mening so'rovlarim</t>
        </is>
      </c>
      <c r="C172" s="31" t="inlineStr">
        <is>
          <t>So'rovlar</t>
        </is>
      </c>
      <c r="D172" s="32" t="inlineStr">
        <is>
          <t>Usta statusi uchun ariza kartochkasi</t>
        </is>
      </c>
      <c r="E172" s="33" t="inlineStr">
        <is>
          <t>P2</t>
        </is>
      </c>
      <c r="F172" s="33" t="inlineStr">
        <is>
          <t>UI</t>
        </is>
      </c>
      <c r="G172" s="31" t="inlineStr">
        <is>
          <t>Foydalanuvchi Usta sifatida tizimga kirgan</t>
        </is>
      </c>
      <c r="H172" s="31" t="inlineStr">
        <is>
          <t>1. «Usta» tabini ochish</t>
        </is>
      </c>
      <c r="I172" s="31" t="inlineStr"/>
      <c r="J172" s="31" t="inlineStr">
        <is>
          <t>So'rov ID, so'rov turi, telefon raqam, mijoz, so'rov statusi</t>
        </is>
      </c>
      <c r="K172" s="31" t="inlineStr"/>
      <c r="L172" s="33" t="inlineStr">
        <is>
          <t>Ha</t>
        </is>
      </c>
      <c r="M172" s="31" t="inlineStr"/>
      <c r="N172" s="33" t="inlineStr">
        <is>
          <t>Avtomatlashtirilmagan</t>
        </is>
      </c>
      <c r="O172" s="31" t="inlineStr"/>
      <c r="P172" s="33" t="inlineStr">
        <is>
          <t>Bajarilmagan</t>
        </is>
      </c>
      <c r="Q172" s="31" t="inlineStr"/>
    </row>
    <row r="173" ht="34" customHeight="1">
      <c r="A173" s="30" t="inlineStr">
        <is>
          <t>REQ-003</t>
        </is>
      </c>
      <c r="B173" s="31" t="inlineStr">
        <is>
          <t>Mening so'rovlarim</t>
        </is>
      </c>
      <c r="C173" s="31" t="inlineStr">
        <is>
          <t>So'rovlar</t>
        </is>
      </c>
      <c r="D173" s="32" t="inlineStr">
        <is>
          <t>«Biznes hamkor bo'lmoqchiman» arizasi</t>
        </is>
      </c>
      <c r="E173" s="33" t="inlineStr">
        <is>
          <t>P3</t>
        </is>
      </c>
      <c r="F173" s="33" t="inlineStr">
        <is>
          <t>Functional</t>
        </is>
      </c>
      <c r="G173" s="31" t="inlineStr">
        <is>
          <t>Foydalanuvchi Usta sifatida tizimga kirgan</t>
        </is>
      </c>
      <c r="H173" s="31" t="inlineStr">
        <is>
          <t>1. Hamkorlik arizasini yuborish
2. «Hamkor» tabini ochish</t>
        </is>
      </c>
      <c r="I173" s="31" t="inlineStr"/>
      <c r="J173" s="31" t="inlineStr">
        <is>
          <t>Ariza «So'rov yuborilgan» holatida yaratildi; tasdiqlanmaguncha narxlar va rol o'zgarmaydi</t>
        </is>
      </c>
      <c r="K173" s="31" t="inlineStr">
        <is>
          <t>PRD Mijoz rollari (narx turi) MR-B3</t>
        </is>
      </c>
      <c r="L173" s="33" t="inlineStr">
        <is>
          <t>Qisman</t>
        </is>
      </c>
      <c r="M173" s="31" t="inlineStr">
        <is>
          <t>Vebda ariza qayerdan yuborilishini aniqlashtirish</t>
        </is>
      </c>
      <c r="N173" s="33" t="inlineStr">
        <is>
          <t>Avtomatlashtirilmagan</t>
        </is>
      </c>
      <c r="O173" s="31" t="inlineStr"/>
      <c r="P173" s="33" t="inlineStr">
        <is>
          <t>Bajarilmagan</t>
        </is>
      </c>
      <c r="Q173" s="31" t="inlineStr"/>
    </row>
    <row r="174" ht="48" customHeight="1">
      <c r="A174" s="30" t="inlineStr">
        <is>
          <t>REQ-004</t>
        </is>
      </c>
      <c r="B174" s="31" t="inlineStr">
        <is>
          <t>Mening so'rovlarim</t>
        </is>
      </c>
      <c r="C174" s="31" t="inlineStr">
        <is>
          <t>So'rovlar</t>
        </is>
      </c>
      <c r="D174" s="32" t="inlineStr">
        <is>
          <t>Arizani tasdiqlash rol va narxlarni o'zgartiradi</t>
        </is>
      </c>
      <c r="E174" s="33" t="inlineStr">
        <is>
          <t>P2</t>
        </is>
      </c>
      <c r="F174" s="33" t="inlineStr">
        <is>
          <t>Integration</t>
        </is>
      </c>
      <c r="G174" s="31" t="inlineStr">
        <is>
          <t>Test mijozi (B2C) «Usta» arizasini yuborgan</t>
        </is>
      </c>
      <c r="H174" s="31" t="inlineStr">
        <is>
          <t>1. Admin arizani tasdiqlab, B2M rolini tanlaydi
2. Mijoz katalog va savatni yangilaydi</t>
        </is>
      </c>
      <c r="I174" s="31" t="inlineStr"/>
      <c r="J174" s="31" t="inlineStr">
        <is>
          <t>Ariza holati yangilandi; katalog, kartochka, savatda narxlar darhol B2M; yaratilgan buyurtmalar qayta hisoblanmaydi</t>
        </is>
      </c>
      <c r="K174" s="31" t="inlineStr">
        <is>
          <t>PRD Mijoz rollari (narx turi) MR-B3, MR-B6, MR-N4</t>
        </is>
      </c>
      <c r="L174" s="33" t="inlineStr">
        <is>
          <t>Qisman</t>
        </is>
      </c>
      <c r="M174" s="31" t="inlineStr">
        <is>
          <t>Admin panel va alohida akkaunt kerak</t>
        </is>
      </c>
      <c r="N174" s="33" t="inlineStr">
        <is>
          <t>Avtomatlashtirilmagan</t>
        </is>
      </c>
      <c r="O174" s="31" t="inlineStr"/>
      <c r="P174" s="33" t="inlineStr">
        <is>
          <t>Bajarilmagan</t>
        </is>
      </c>
      <c r="Q174" s="31" t="inlineStr"/>
    </row>
    <row r="175" ht="48" customHeight="1">
      <c r="A175" s="26" t="inlineStr">
        <is>
          <t>SPC-001</t>
        </is>
      </c>
      <c r="B175" s="27" t="inlineStr">
        <is>
          <t>Maxsus buyurtma</t>
        </is>
      </c>
      <c r="C175" s="27" t="inlineStr">
        <is>
          <t>Maxsus buyurtma</t>
        </is>
      </c>
      <c r="D175" s="28" t="inlineStr">
        <is>
          <t>«Yangi» / «Arxiv» tablari va bo'sh holat</t>
        </is>
      </c>
      <c r="E175" s="29" t="inlineStr">
        <is>
          <t>P3</t>
        </is>
      </c>
      <c r="F175" s="29" t="inlineStr">
        <is>
          <t>UI</t>
        </is>
      </c>
      <c r="G175" s="27" t="inlineStr">
        <is>
          <t>Foydalanuvchi Usta sifatida tizimga kirgan</t>
        </is>
      </c>
      <c r="H175" s="27" t="inlineStr">
        <is>
          <t>1. «Maxsus buyurtma»ni ochish
2. Tablarni almashtirish</t>
        </is>
      </c>
      <c r="I175" s="27" t="inlineStr"/>
      <c r="J175" s="27" t="inlineStr">
        <is>
          <t>Hujjatlar bo'lmasa — «Sizning buyurtmalaringiz mavjud emas»; «Yangi»da faqat yuborilgan (qoralama bo'lmagan) hujjatlar ko'rinadi</t>
        </is>
      </c>
      <c r="K175" s="27" t="inlineStr">
        <is>
          <t>PRD Sales window SW-CUS-001</t>
        </is>
      </c>
      <c r="L175" s="29" t="inlineStr">
        <is>
          <t>Ha</t>
        </is>
      </c>
      <c r="M175" s="27" t="inlineStr"/>
      <c r="N175" s="29" t="inlineStr">
        <is>
          <t>Avtomatlashtirilmagan</t>
        </is>
      </c>
      <c r="O175" s="27" t="inlineStr"/>
      <c r="P175" s="29" t="inlineStr">
        <is>
          <t>Bajarilmagan</t>
        </is>
      </c>
      <c r="Q175" s="27" t="inlineStr"/>
    </row>
    <row r="176" ht="76" customHeight="1">
      <c r="A176" s="26" t="inlineStr">
        <is>
          <t>SPC-002</t>
        </is>
      </c>
      <c r="B176" s="27" t="inlineStr">
        <is>
          <t>Maxsus buyurtma</t>
        </is>
      </c>
      <c r="C176" s="27" t="inlineStr">
        <is>
          <t>Maxsus buyurtma</t>
        </is>
      </c>
      <c r="D176" s="28" t="inlineStr">
        <is>
          <t>Maxsus buyurtmani tasdiqlash buyurtma yaratadi</t>
        </is>
      </c>
      <c r="E176" s="29" t="inlineStr">
        <is>
          <t>P1</t>
        </is>
      </c>
      <c r="F176" s="29" t="inlineStr">
        <is>
          <t>Integration</t>
        </is>
      </c>
      <c r="G176" s="27" t="inlineStr">
        <is>
          <t>Foydalanuvchi Usta sifatida tizimga kirgan; admin ustaga maxsus buyurtma yuborgan (Sotuv oynasi)</t>
        </is>
      </c>
      <c r="H176" s="27" t="inlineStr">
        <is>
          <t>1. «Yangi»da maxsus buyurtmani ochish
2. To'lov, yetkazish, manzil (Hamyon uchun muddat)ni tanlash
3. Tasdiqlash</t>
        </is>
      </c>
      <c r="I176" s="27" t="inlineStr"/>
      <c r="J176" s="27" t="inlineStr">
        <is>
          <t>Hujjat pozitsiyalaridan oddiy buyurtma yaratildi («Mening buyurtmalarim»da ko'rinadi); hujjat — «Qabul qilingan», «Arxiv»ga o'tadi. Admin to'lov usulini qat'iy belgilagan bo'lsa — boshqasini tanlab bo'lmaydi</t>
        </is>
      </c>
      <c r="K176" s="27" t="inlineStr">
        <is>
          <t>PRD Sales window SW-CUS-003, SW-PAY-001</t>
        </is>
      </c>
      <c r="L176" s="29" t="inlineStr">
        <is>
          <t>Qisman</t>
        </is>
      </c>
      <c r="M176" s="27" t="inlineStr">
        <is>
          <t>Hujjat admin panelda yaratiladi</t>
        </is>
      </c>
      <c r="N176" s="29" t="inlineStr">
        <is>
          <t>Avtomatlashtirilmagan</t>
        </is>
      </c>
      <c r="O176" s="27" t="inlineStr"/>
      <c r="P176" s="29" t="inlineStr">
        <is>
          <t>Bajarilmagan</t>
        </is>
      </c>
      <c r="Q176" s="27" t="inlineStr"/>
    </row>
    <row r="177" ht="48" customHeight="1">
      <c r="A177" s="26" t="inlineStr">
        <is>
          <t>SPC-003</t>
        </is>
      </c>
      <c r="B177" s="27" t="inlineStr">
        <is>
          <t>Maxsus buyurtma</t>
        </is>
      </c>
      <c r="C177" s="27" t="inlineStr">
        <is>
          <t>Maxsus buyurtma</t>
        </is>
      </c>
      <c r="D177" s="28" t="inlineStr">
        <is>
          <t>Maxsus buyurtmani qaytarish (rad etish)</t>
        </is>
      </c>
      <c r="E177" s="29" t="inlineStr">
        <is>
          <t>P2</t>
        </is>
      </c>
      <c r="F177" s="29" t="inlineStr">
        <is>
          <t>Integration</t>
        </is>
      </c>
      <c r="G177" s="27" t="inlineStr">
        <is>
          <t>Foydalanuvchi Usta sifatida tizimga kirgan; yuborilgan maxsus buyurtma bor</t>
        </is>
      </c>
      <c r="H177" s="27" t="inlineStr">
        <is>
          <t>1. Maxsus buyurtmani ochish
2. «Qaytarish»ni bosish</t>
        </is>
      </c>
      <c r="I177" s="27" t="inlineStr"/>
      <c r="J177" s="27" t="inlineStr">
        <is>
          <t>Holat «Qaytarilgan», hujjat «Yangi»dan chiqadi; admin qayta yubormaguncha uni tasdiqlab bo'lmaydi</t>
        </is>
      </c>
      <c r="K177" s="27" t="inlineStr">
        <is>
          <t>PRD Sales window SW-CUS-002</t>
        </is>
      </c>
      <c r="L177" s="29" t="inlineStr">
        <is>
          <t>Qisman</t>
        </is>
      </c>
      <c r="M177" s="27" t="inlineStr"/>
      <c r="N177" s="29" t="inlineStr">
        <is>
          <t>Avtomatlashtirilmagan</t>
        </is>
      </c>
      <c r="O177" s="27" t="inlineStr"/>
      <c r="P177" s="29" t="inlineStr">
        <is>
          <t>Bajarilmagan</t>
        </is>
      </c>
      <c r="Q177" s="27" t="inlineStr"/>
    </row>
    <row r="178" ht="62" customHeight="1">
      <c r="A178" s="26" t="inlineStr">
        <is>
          <t>SPC-004</t>
        </is>
      </c>
      <c r="B178" s="27" t="inlineStr">
        <is>
          <t>Maxsus buyurtma</t>
        </is>
      </c>
      <c r="C178" s="27" t="inlineStr">
        <is>
          <t>Maxsus buyurtma</t>
        </is>
      </c>
      <c r="D178" s="28" t="inlineStr">
        <is>
          <t>Taklifni taymer bo'yicha avtomatik qaytarish</t>
        </is>
      </c>
      <c r="E178" s="29" t="inlineStr">
        <is>
          <t>P3</t>
        </is>
      </c>
      <c r="F178" s="29" t="inlineStr">
        <is>
          <t>Integration</t>
        </is>
      </c>
      <c r="G178" s="27" t="inlineStr">
        <is>
          <t>Foydalanuvchi Usta sifatida tizimga kirgan; admin «Taklif berildi» turidagi maxsus buyurtma yuborgan</t>
        </is>
      </c>
      <c r="H178" s="27" t="inlineStr">
        <is>
          <t>1. Taymer tugaguncha tasdiqlamaslik</t>
        </is>
      </c>
      <c r="I178" s="27" t="inlineStr"/>
      <c r="J178" s="27" t="inlineStr">
        <is>
          <t>Vaqt tugagach hujjat avtomatik qaytariladi; «Berib yuborildi» hujjatlari taymersiz kutadi</t>
        </is>
      </c>
      <c r="K178" s="27" t="inlineStr">
        <is>
          <t>PRD Sales window §10</t>
        </is>
      </c>
      <c r="L178" s="29" t="inlineStr">
        <is>
          <t>Yo'q</t>
        </is>
      </c>
      <c r="M178" s="27" t="inlineStr">
        <is>
          <t>Taymerni uzoq kutish</t>
        </is>
      </c>
      <c r="N178" s="29" t="inlineStr">
        <is>
          <t>Avtomatlashtirilmagan</t>
        </is>
      </c>
      <c r="O178" s="27" t="inlineStr"/>
      <c r="P178" s="29" t="inlineStr">
        <is>
          <t>Bajarilmagan</t>
        </is>
      </c>
      <c r="Q178" s="27" t="inlineStr"/>
    </row>
    <row r="179" ht="62" customHeight="1">
      <c r="A179" s="30" t="inlineStr">
        <is>
          <t>MST-001</t>
        </is>
      </c>
      <c r="B179" s="31" t="inlineStr">
        <is>
          <t>«Usta» roli xususiyatlari</t>
        </is>
      </c>
      <c r="C179" s="31" t="inlineStr">
        <is>
          <t>Narxlar</t>
        </is>
      </c>
      <c r="D179" s="32" t="inlineStr">
        <is>
          <t>Usta B2M narxini ko'radi</t>
        </is>
      </c>
      <c r="E179" s="33" t="inlineStr">
        <is>
          <t>P1</t>
        </is>
      </c>
      <c r="F179" s="33" t="inlineStr">
        <is>
          <t>Functional</t>
        </is>
      </c>
      <c r="G179" s="31" t="inlineStr">
        <is>
          <t>Foydalanuvchi Usta sifatida tizimga kirgan; admin panelda mahsulotning B2C / B2M / B2B narxlari har xil</t>
        </is>
      </c>
      <c r="H179" s="31" t="inlineStr">
        <is>
          <t>1. Mahsulotni katalogda va mahsulot sahifasida ochish</t>
        </is>
      </c>
      <c r="I179" s="31" t="inlineStr">
        <is>
          <t>Misol: B2C 30 000, B2M 25 000</t>
        </is>
      </c>
      <c r="J179" s="31" t="inlineStr">
        <is>
          <t>Asosiy narx = B2M (25 000); B2C narxi (30 000) yonida chizilgan — faqat B2M arzonroq bo'lsa; B2M ≥ B2C bo'lsa, chizilgan narx yo'q</t>
        </is>
      </c>
      <c r="K179" s="31" t="inlineStr">
        <is>
          <t>PRD Mijoz rollari (narx turi) §5, MR-N5</t>
        </is>
      </c>
      <c r="L179" s="33" t="inlineStr">
        <is>
          <t>Qisman</t>
        </is>
      </c>
      <c r="M179" s="31" t="inlineStr">
        <is>
          <t>Narxlar etaloni — admin panel/API dan</t>
        </is>
      </c>
      <c r="N179" s="33" t="inlineStr">
        <is>
          <t>Avtomatlashtirilmagan</t>
        </is>
      </c>
      <c r="O179" s="31" t="inlineStr"/>
      <c r="P179" s="33" t="inlineStr">
        <is>
          <t>Bajarilmagan</t>
        </is>
      </c>
      <c r="Q179" s="31" t="inlineStr"/>
    </row>
    <row r="180" ht="48" customHeight="1">
      <c r="A180" s="30" t="inlineStr">
        <is>
          <t>MST-002</t>
        </is>
      </c>
      <c r="B180" s="31" t="inlineStr">
        <is>
          <t>«Usta» roli xususiyatlari</t>
        </is>
      </c>
      <c r="C180" s="31" t="inlineStr">
        <is>
          <t>Narxlar</t>
        </is>
      </c>
      <c r="D180" s="32" t="inlineStr">
        <is>
          <t>Ustaning narxi hamma joyda bir xil</t>
        </is>
      </c>
      <c r="E180" s="33" t="inlineStr">
        <is>
          <t>P1</t>
        </is>
      </c>
      <c r="F180" s="33" t="inlineStr">
        <is>
          <t>Functional</t>
        </is>
      </c>
      <c r="G180" s="31" t="inlineStr">
        <is>
          <t>Foydalanuvchi Usta sifatida tizimga kirgan</t>
        </is>
      </c>
      <c r="H180" s="31" t="inlineStr">
        <is>
          <t>1. Katalogdagi mahsulot narxini eslab qolish
2. Qidiruv, kartochka, savat, rasmiylashtirish va buyurtma tafsilotida solishtirish</t>
        </is>
      </c>
      <c r="I180" s="31" t="inlineStr"/>
      <c r="J180" s="31" t="inlineStr">
        <is>
          <t>Narx barcha ekranlarda bir xil; buyurtmada pozitsiya B2M narxida saqlanadi («miqdor × narx»)</t>
        </is>
      </c>
      <c r="K180" s="31" t="inlineStr">
        <is>
          <t>PRD Mijoz rollari (narx turi) MR-N1, MR-N3</t>
        </is>
      </c>
      <c r="L180" s="33" t="inlineStr">
        <is>
          <t>Ha</t>
        </is>
      </c>
      <c r="M180" s="31" t="inlineStr"/>
      <c r="N180" s="33" t="inlineStr">
        <is>
          <t>Avtomatlashtirilmagan</t>
        </is>
      </c>
      <c r="O180" s="31" t="inlineStr"/>
      <c r="P180" s="33" t="inlineStr">
        <is>
          <t>Bajarilmagan</t>
        </is>
      </c>
      <c r="Q180" s="31" t="inlineStr"/>
    </row>
    <row r="181" ht="34" customHeight="1">
      <c r="A181" s="30" t="inlineStr">
        <is>
          <t>MST-003</t>
        </is>
      </c>
      <c r="B181" s="31" t="inlineStr">
        <is>
          <t>«Usta» roli xususiyatlari</t>
        </is>
      </c>
      <c r="C181" s="31" t="inlineStr">
        <is>
          <t>Narxlar</t>
        </is>
      </c>
      <c r="D181" s="32" t="inlineStr">
        <is>
          <t>Usta va B2C mijoz narxlari farq qiladi</t>
        </is>
      </c>
      <c r="E181" s="33" t="inlineStr">
        <is>
          <t>P1</t>
        </is>
      </c>
      <c r="F181" s="33" t="inlineStr">
        <is>
          <t>Functional</t>
        </is>
      </c>
      <c r="G181" s="31" t="inlineStr">
        <is>
          <t>Test akkauntlari bor: Mijoz (B2C) va Usta</t>
        </is>
      </c>
      <c r="H181" s="31" t="inlineStr">
        <is>
          <t>1. Bitta mahsulotni Mijoz sifatida ochish
2. Usta sifatida ochish</t>
        </is>
      </c>
      <c r="I181" s="31" t="inlineStr"/>
      <c r="J181" s="31" t="inlineStr">
        <is>
          <t>Mijoz B2C ni, usta — B2M ni ko'radi; ustada B2M &lt; B2C bo'lsa B2C narxi chizilgan</t>
        </is>
      </c>
      <c r="K181" s="31" t="inlineStr">
        <is>
          <t>PRD Mijoz rollari (narx turi)</t>
        </is>
      </c>
      <c r="L181" s="33" t="inlineStr">
        <is>
          <t>Qisman</t>
        </is>
      </c>
      <c r="M181" s="31" t="inlineStr">
        <is>
          <t>Ikkinchi akkaunt (B2C) kerak</t>
        </is>
      </c>
      <c r="N181" s="33" t="inlineStr">
        <is>
          <t>Avtomatlashtirilmagan</t>
        </is>
      </c>
      <c r="O181" s="31" t="inlineStr"/>
      <c r="P181" s="33" t="inlineStr">
        <is>
          <t>Bajarilmagan</t>
        </is>
      </c>
      <c r="Q181" s="31" t="inlineStr"/>
    </row>
    <row r="182" ht="34" customHeight="1">
      <c r="A182" s="30" t="inlineStr">
        <is>
          <t>MST-004</t>
        </is>
      </c>
      <c r="B182" s="31" t="inlineStr">
        <is>
          <t>«Usta» roli xususiyatlari</t>
        </is>
      </c>
      <c r="C182" s="31" t="inlineStr">
        <is>
          <t>Narxlar</t>
        </is>
      </c>
      <c r="D182" s="32" t="inlineStr">
        <is>
          <t>Narx bo'yicha filtr va saralash — usta narxi bo'yicha</t>
        </is>
      </c>
      <c r="E182" s="33" t="inlineStr">
        <is>
          <t>P2</t>
        </is>
      </c>
      <c r="F182" s="33" t="inlineStr">
        <is>
          <t>Functional</t>
        </is>
      </c>
      <c r="G182" s="31" t="inlineStr">
        <is>
          <t>Foydalanuvchi Usta sifatida tizimga kirgan</t>
        </is>
      </c>
      <c r="H182" s="31" t="inlineStr">
        <is>
          <t>1. Kategoriyada narx filtrini berish
2. «Arzonlaridan boshlab» saralash</t>
        </is>
      </c>
      <c r="I182" s="31" t="inlineStr"/>
      <c r="J182" s="31" t="inlineStr">
        <is>
          <t>Filtr va saralash usta ko'radigan haqiqiy (B2M) narx bo'yicha ishlaydi</t>
        </is>
      </c>
      <c r="K182" s="31" t="inlineStr">
        <is>
          <t>PRD Mijoz rollari (narx turi) MR-N2</t>
        </is>
      </c>
      <c r="L182" s="33" t="inlineStr">
        <is>
          <t>Ha</t>
        </is>
      </c>
      <c r="M182" s="31" t="inlineStr"/>
      <c r="N182" s="33" t="inlineStr">
        <is>
          <t>Avtomatlashtirilmagan</t>
        </is>
      </c>
      <c r="O182" s="31" t="inlineStr"/>
      <c r="P182" s="33" t="inlineStr">
        <is>
          <t>Bajarilmagan</t>
        </is>
      </c>
      <c r="Q182" s="31" t="inlineStr"/>
    </row>
    <row r="183" ht="48" customHeight="1">
      <c r="A183" s="30" t="inlineStr">
        <is>
          <t>MST-005</t>
        </is>
      </c>
      <c r="B183" s="31" t="inlineStr">
        <is>
          <t>«Usta» roli xususiyatlari</t>
        </is>
      </c>
      <c r="C183" s="31" t="inlineStr">
        <is>
          <t>Narxlar</t>
        </is>
      </c>
      <c r="D183" s="32" t="inlineStr">
        <is>
          <t>Rolni almashtirish narxlarni darhol o'zgartiradi, buyurtmalar qayta hisoblanmaydi</t>
        </is>
      </c>
      <c r="E183" s="33" t="inlineStr">
        <is>
          <t>P2</t>
        </is>
      </c>
      <c r="F183" s="33" t="inlineStr">
        <is>
          <t>Integration</t>
        </is>
      </c>
      <c r="G183" s="31" t="inlineStr">
        <is>
          <t>Test akkaunti; ochiq buyurtma va savatda mahsulotlar bor</t>
        </is>
      </c>
      <c r="H183" s="31" t="inlineStr">
        <is>
          <t>1. Admin rolni B2M → B2C ga o'zgartiradi
2. Katalog va savatni yangilash
3. Ochiq buyurtmani ochish</t>
        </is>
      </c>
      <c r="I183" s="31" t="inlineStr"/>
      <c r="J183" s="31" t="inlineStr">
        <is>
          <t>Katalog va savat darhol yangi narxlarda; ochiq buyurtma narxlari o'zgarmadi</t>
        </is>
      </c>
      <c r="K183" s="31" t="inlineStr">
        <is>
          <t>PRD Mijoz rollari (narx turi) MR-B6, MR-N4</t>
        </is>
      </c>
      <c r="L183" s="33" t="inlineStr">
        <is>
          <t>Qisman</t>
        </is>
      </c>
      <c r="M183" s="31" t="inlineStr">
        <is>
          <t>Admin panel kerak</t>
        </is>
      </c>
      <c r="N183" s="33" t="inlineStr">
        <is>
          <t>Avtomatlashtirilmagan</t>
        </is>
      </c>
      <c r="O183" s="31" t="inlineStr"/>
      <c r="P183" s="33" t="inlineStr">
        <is>
          <t>Bajarilmagan</t>
        </is>
      </c>
      <c r="Q183" s="31" t="inlineStr"/>
    </row>
    <row r="184" ht="76" customHeight="1">
      <c r="A184" s="30" t="inlineStr">
        <is>
          <t>MST-006</t>
        </is>
      </c>
      <c r="B184" s="31" t="inlineStr">
        <is>
          <t>«Usta» roli xususiyatlari</t>
        </is>
      </c>
      <c r="C184" s="31" t="inlineStr">
        <is>
          <t>Qarz</t>
        </is>
      </c>
      <c r="D184" s="32" t="inlineStr">
        <is>
          <t>Hamyon ustaga limit doirasida mavjud</t>
        </is>
      </c>
      <c r="E184" s="33" t="inlineStr">
        <is>
          <t>P1</t>
        </is>
      </c>
      <c r="F184" s="33" t="inlineStr">
        <is>
          <t>Functional</t>
        </is>
      </c>
      <c r="G184" s="31" t="inlineStr">
        <is>
          <t>Foydalanuvchi Usta sifatida tizimga kirgan; admin ustaga hamyon ochgan: Debt Status = Open, Limit Summa &gt; 0, Limit Kun &gt; 0</t>
        </is>
      </c>
      <c r="H184" s="31" t="inlineStr">
        <is>
          <t>1. Rasmiylashtirishni ochish</t>
        </is>
      </c>
      <c r="I184" s="31" t="inlineStr">
        <is>
          <t>Usta limiti: 20 000 000 so'mgacha, 15 kungacha</t>
        </is>
      </c>
      <c r="J184" s="31" t="inlineStr">
        <is>
          <t>Hamyon plitkasi mavjud; qarz muddati Limit Kun doirasida tanlanadi</t>
        </is>
      </c>
      <c r="K184" s="31" t="inlineStr">
        <is>
          <t>PRD Debt Limit (B2B/B2M) §3–4</t>
        </is>
      </c>
      <c r="L184" s="33" t="inlineStr">
        <is>
          <t>Qisman</t>
        </is>
      </c>
      <c r="M184" s="31" t="inlineStr">
        <is>
          <t>Admin panelda limitni sozlash kerak</t>
        </is>
      </c>
      <c r="N184" s="33" t="inlineStr">
        <is>
          <t>Avtomatlashtirilmagan</t>
        </is>
      </c>
      <c r="O184" s="31" t="inlineStr"/>
      <c r="P184" s="33" t="inlineStr">
        <is>
          <t>Bajarilmagan</t>
        </is>
      </c>
      <c r="Q184" s="31" t="inlineStr"/>
    </row>
    <row r="185" ht="34" customHeight="1">
      <c r="A185" s="26" t="inlineStr">
        <is>
          <t>L10N-001</t>
        </is>
      </c>
      <c r="B185" s="27" t="inlineStr">
        <is>
          <t>Lokalizatsiya</t>
        </is>
      </c>
      <c r="C185" s="27" t="inlineStr">
        <is>
          <t>Til</t>
        </is>
      </c>
      <c r="D185" s="28" t="inlineStr">
        <is>
          <t>Tilni almashtirish Oʻz / Ru / En</t>
        </is>
      </c>
      <c r="E185" s="29" t="inlineStr">
        <is>
          <t>P2</t>
        </is>
      </c>
      <c r="F185" s="29" t="inlineStr">
        <is>
          <t>Functional</t>
        </is>
      </c>
      <c r="G185" s="27" t="inlineStr">
        <is>
          <t>Foydalanuvchi Usta sifatida tizimga kirgan</t>
        </is>
      </c>
      <c r="H185" s="27" t="inlineStr">
        <is>
          <t>1. Til almashtirgichni bosish
2. Oʻz, keyin En, keyin Ru ni tanlash</t>
        </is>
      </c>
      <c r="I185" s="27" t="inlineStr"/>
      <c r="J185" s="27" t="inlineStr">
        <is>
          <t>Interfeys to'liq tanlangan tilda; URL prefiksi o'zgaradi (/uz, /en, /ru); joriy sahifa saqlanadi</t>
        </is>
      </c>
      <c r="K185" s="27" t="inlineStr"/>
      <c r="L185" s="29" t="inlineStr">
        <is>
          <t>Ha</t>
        </is>
      </c>
      <c r="M185" s="27" t="inlineStr"/>
      <c r="N185" s="29" t="inlineStr">
        <is>
          <t>Avtomatlashtirilmagan</t>
        </is>
      </c>
      <c r="O185" s="27" t="inlineStr"/>
      <c r="P185" s="29" t="inlineStr">
        <is>
          <t>Bajarilmagan</t>
        </is>
      </c>
      <c r="Q185" s="27" t="inlineStr"/>
    </row>
    <row r="186" ht="48" customHeight="1">
      <c r="A186" s="26" t="inlineStr">
        <is>
          <t>L10N-002</t>
        </is>
      </c>
      <c r="B186" s="27" t="inlineStr">
        <is>
          <t>Lokalizatsiya</t>
        </is>
      </c>
      <c r="C186" s="27" t="inlineStr">
        <is>
          <t>Til</t>
        </is>
      </c>
      <c r="D186" s="28" t="inlineStr">
        <is>
          <t>Til navigatsiya va yangilashda saqlanadi</t>
        </is>
      </c>
      <c r="E186" s="29" t="inlineStr">
        <is>
          <t>P2</t>
        </is>
      </c>
      <c r="F186" s="29" t="inlineStr">
        <is>
          <t>Functional</t>
        </is>
      </c>
      <c r="G186" s="27" t="inlineStr">
        <is>
          <t>Foydalanuvchi Usta sifatida tizimga kirgan</t>
        </is>
      </c>
      <c r="H186" s="27" t="inlineStr">
        <is>
          <t>1. En ni tanlash
2. Bir nechta sahifaga o'tish
3. Yangilash</t>
        </is>
      </c>
      <c r="I186" s="27" t="inlineStr"/>
      <c r="J186" s="27" t="inlineStr">
        <is>
          <t>Til English bo'lib qoladi</t>
        </is>
      </c>
      <c r="K186" s="27" t="inlineStr"/>
      <c r="L186" s="29" t="inlineStr">
        <is>
          <t>Ha</t>
        </is>
      </c>
      <c r="M186" s="27" t="inlineStr"/>
      <c r="N186" s="29" t="inlineStr">
        <is>
          <t>Avtomatlashtirilmagan</t>
        </is>
      </c>
      <c r="O186" s="27" t="inlineStr"/>
      <c r="P186" s="29" t="inlineStr">
        <is>
          <t>Bajarilmagan</t>
        </is>
      </c>
      <c r="Q186" s="27" t="inlineStr"/>
    </row>
    <row r="187" ht="48" customHeight="1">
      <c r="A187" s="26" t="inlineStr">
        <is>
          <t>L10N-003</t>
        </is>
      </c>
      <c r="B187" s="27" t="inlineStr">
        <is>
          <t>Lokalizatsiya</t>
        </is>
      </c>
      <c r="C187" s="27" t="inlineStr">
        <is>
          <t>Tarjimalar</t>
        </is>
      </c>
      <c r="D187" s="28" t="inlineStr">
        <is>
          <t>Tarjima qilinmagan satrlar va texnik kalitlar yo'qligi</t>
        </is>
      </c>
      <c r="E187" s="29" t="inlineStr">
        <is>
          <t>P2</t>
        </is>
      </c>
      <c r="F187" s="29" t="inlineStr">
        <is>
          <t>UI</t>
        </is>
      </c>
      <c r="G187" s="27" t="inlineStr">
        <is>
          <t>Foydalanuvchi Usta sifatida tizimga kirgan</t>
        </is>
      </c>
      <c r="H187" s="27" t="inlineStr">
        <is>
          <t>1. UZ va RU versiyalarda asosiy sahifalardan o'tish (bosh sahifa, katalog, mahsulot, savat, rasmiylashtirish, profil)</t>
        </is>
      </c>
      <c r="I187" s="27" t="inlineStr"/>
      <c r="J187" s="27" t="inlineStr">
        <is>
          <t>Boshqa tildagi satrlar yo'q, snake_case kalitlar (no_orders va h.k.) yo'q, «canceled» yo'q; imlo xatolari yo'q</t>
        </is>
      </c>
      <c r="K187" s="27" t="inlineStr"/>
      <c r="L187" s="29" t="inlineStr">
        <is>
          <t>Qisman</t>
        </is>
      </c>
      <c r="M187" s="27" t="inlineStr">
        <is>
          <t>Regulyar ifodalar bilan avtotekshiruv; tarjima ma'nosi — qo'lda</t>
        </is>
      </c>
      <c r="N187" s="29" t="inlineStr">
        <is>
          <t>Avtomatlashtirilmagan</t>
        </is>
      </c>
      <c r="O187" s="27" t="inlineStr"/>
      <c r="P187" s="29" t="inlineStr">
        <is>
          <t>Bajarilmagan</t>
        </is>
      </c>
      <c r="Q187" s="27" t="inlineStr"/>
    </row>
    <row r="188" ht="34" customHeight="1">
      <c r="A188" s="26" t="inlineStr">
        <is>
          <t>L10N-004</t>
        </is>
      </c>
      <c r="B188" s="27" t="inlineStr">
        <is>
          <t>Lokalizatsiya</t>
        </is>
      </c>
      <c r="C188" s="27" t="inlineStr">
        <is>
          <t>Formatlar</t>
        </is>
      </c>
      <c r="D188" s="28" t="inlineStr">
        <is>
          <t>Narx va sanalar formati</t>
        </is>
      </c>
      <c r="E188" s="29" t="inlineStr">
        <is>
          <t>P3</t>
        </is>
      </c>
      <c r="F188" s="29" t="inlineStr">
        <is>
          <t>UI</t>
        </is>
      </c>
      <c r="G188" s="27" t="inlineStr">
        <is>
          <t>Foydalanuvchi Usta sifatida tizimga kirgan</t>
        </is>
      </c>
      <c r="H188" s="27" t="inlineStr">
        <is>
          <t>1. RU/UZ/EN da narx va sanalarni tekshirish</t>
        </is>
      </c>
      <c r="I188" s="27" t="inlineStr"/>
      <c r="J188" s="27" t="inlineStr">
        <is>
          <t>Minglar bo'shliq bilan ajratilgan, valyuta «soʻm»/«сум»; sanalar til formatida</t>
        </is>
      </c>
      <c r="K188" s="27" t="inlineStr"/>
      <c r="L188" s="29" t="inlineStr">
        <is>
          <t>Ha</t>
        </is>
      </c>
      <c r="M188" s="27" t="inlineStr"/>
      <c r="N188" s="29" t="inlineStr">
        <is>
          <t>Avtomatlashtirilmagan</t>
        </is>
      </c>
      <c r="O188" s="27" t="inlineStr"/>
      <c r="P188" s="29" t="inlineStr">
        <is>
          <t>Bajarilmagan</t>
        </is>
      </c>
      <c r="Q188" s="27" t="inlineStr"/>
    </row>
    <row r="189" ht="48" customHeight="1">
      <c r="A189" s="30" t="inlineStr">
        <is>
          <t>MOB-001</t>
        </is>
      </c>
      <c r="B189" s="31" t="inlineStr">
        <is>
          <t>Mobil versiya</t>
        </is>
      </c>
      <c r="C189" s="31" t="inlineStr">
        <is>
          <t>Navigatsiya</t>
        </is>
      </c>
      <c r="D189" s="32" t="inlineStr">
        <is>
          <t>Mobil versiyaning pastki menyusi</t>
        </is>
      </c>
      <c r="E189" s="33" t="inlineStr">
        <is>
          <t>P2</t>
        </is>
      </c>
      <c r="F189" s="33" t="inlineStr">
        <is>
          <t>Functional</t>
        </is>
      </c>
      <c r="G189" s="31" t="inlineStr">
        <is>
          <t>Foydalanuvchi Usta sifatida tizimga kirgan; ekran kengligi 375px</t>
        </is>
      </c>
      <c r="H189" s="31" t="inlineStr">
        <is>
          <t>1. Saytni ochish
2. Ketma-ket bosish: Asosiy, Kategoriya, Savat, Sevimlilar, Profil</t>
        </is>
      </c>
      <c r="I189" s="31" t="inlineStr"/>
      <c r="J189" s="31" t="inlineStr">
        <is>
          <t>Har bir band o'z bo'limini ochadi, faoli ajratilgan</t>
        </is>
      </c>
      <c r="K189" s="31" t="inlineStr"/>
      <c r="L189" s="33" t="inlineStr">
        <is>
          <t>Ha</t>
        </is>
      </c>
      <c r="M189" s="31" t="inlineStr">
        <is>
          <t>Playwright da viewport emulyatsiyasi</t>
        </is>
      </c>
      <c r="N189" s="33" t="inlineStr">
        <is>
          <t>Avtomatlashtirilmagan</t>
        </is>
      </c>
      <c r="O189" s="31" t="inlineStr"/>
      <c r="P189" s="33" t="inlineStr">
        <is>
          <t>Bajarilmagan</t>
        </is>
      </c>
      <c r="Q189" s="31" t="inlineStr"/>
    </row>
    <row r="190" ht="34" customHeight="1">
      <c r="A190" s="30" t="inlineStr">
        <is>
          <t>MOB-002</t>
        </is>
      </c>
      <c r="B190" s="31" t="inlineStr">
        <is>
          <t>Mobil versiya</t>
        </is>
      </c>
      <c r="C190" s="31" t="inlineStr">
        <is>
          <t>Katalog</t>
        </is>
      </c>
      <c r="D190" s="32" t="inlineStr">
        <is>
          <t>Mobilda katalog va filtrlar</t>
        </is>
      </c>
      <c r="E190" s="33" t="inlineStr">
        <is>
          <t>P2</t>
        </is>
      </c>
      <c r="F190" s="33" t="inlineStr">
        <is>
          <t>Functional</t>
        </is>
      </c>
      <c r="G190" s="31" t="inlineStr">
        <is>
          <t>Foydalanuvchi Usta sifatida tizimga kirgan; 375px</t>
        </is>
      </c>
      <c r="H190" s="31" t="inlineStr">
        <is>
          <t>1. Kategoriyani ochish
2. Filtrlarni ochib qo'llash</t>
        </is>
      </c>
      <c r="I190" s="31" t="inlineStr"/>
      <c r="J190" s="31" t="inlineStr">
        <is>
          <t>Filtrlar alohida panelda ochiladi; natija to'g'ri</t>
        </is>
      </c>
      <c r="K190" s="31" t="inlineStr"/>
      <c r="L190" s="33" t="inlineStr">
        <is>
          <t>Ha</t>
        </is>
      </c>
      <c r="M190" s="31" t="inlineStr"/>
      <c r="N190" s="33" t="inlineStr">
        <is>
          <t>Avtomatlashtirilmagan</t>
        </is>
      </c>
      <c r="O190" s="31" t="inlineStr"/>
      <c r="P190" s="33" t="inlineStr">
        <is>
          <t>Bajarilmagan</t>
        </is>
      </c>
      <c r="Q190" s="31" t="inlineStr"/>
    </row>
    <row r="191" ht="48" customHeight="1">
      <c r="A191" s="30" t="inlineStr">
        <is>
          <t>MOB-003</t>
        </is>
      </c>
      <c r="B191" s="31" t="inlineStr">
        <is>
          <t>Mobil versiya</t>
        </is>
      </c>
      <c r="C191" s="31" t="inlineStr">
        <is>
          <t>Rasmiylashtirish</t>
        </is>
      </c>
      <c r="D191" s="32" t="inlineStr">
        <is>
          <t>Mobilda buyurtma berish</t>
        </is>
      </c>
      <c r="E191" s="33" t="inlineStr">
        <is>
          <t>P1</t>
        </is>
      </c>
      <c r="F191" s="33" t="inlineStr">
        <is>
          <t>Functional</t>
        </is>
      </c>
      <c r="G191" s="31" t="inlineStr">
        <is>
          <t>Foydalanuvchi Usta sifatida tizimga kirgan; savatda mavjud 2+ ta mahsulot bor; 375px</t>
        </is>
      </c>
      <c r="H191" s="31" t="inlineStr">
        <is>
          <t>1. Savat → rasmiylashtirish → «Buyurtma berish» yo'lidan o'tish</t>
        </is>
      </c>
      <c r="I191" s="31" t="inlineStr"/>
      <c r="J191" s="31" t="inlineStr">
        <is>
          <t>Barcha elementlar mavjud, buyurtma beriladi</t>
        </is>
      </c>
      <c r="K191" s="31" t="inlineStr"/>
      <c r="L191" s="33" t="inlineStr">
        <is>
          <t>Ha</t>
        </is>
      </c>
      <c r="M191" s="31" t="inlineStr"/>
      <c r="N191" s="33" t="inlineStr">
        <is>
          <t>Avtomatlashtirilmagan</t>
        </is>
      </c>
      <c r="O191" s="31" t="inlineStr"/>
      <c r="P191" s="33" t="inlineStr">
        <is>
          <t>Bajarilmagan</t>
        </is>
      </c>
      <c r="Q191" s="31" t="inlineStr"/>
    </row>
    <row r="192" ht="34" customHeight="1">
      <c r="A192" s="30" t="inlineStr">
        <is>
          <t>MOB-004</t>
        </is>
      </c>
      <c r="B192" s="31" t="inlineStr">
        <is>
          <t>Mobil versiya</t>
        </is>
      </c>
      <c r="C192" s="31" t="inlineStr">
        <is>
          <t>Maket</t>
        </is>
      </c>
      <c r="D192" s="32" t="inlineStr">
        <is>
          <t>Gorizontal aylantirish va ustma-ust chiqish yo'q</t>
        </is>
      </c>
      <c r="E192" s="33" t="inlineStr">
        <is>
          <t>P3</t>
        </is>
      </c>
      <c r="F192" s="33" t="inlineStr">
        <is>
          <t>UI</t>
        </is>
      </c>
      <c r="G192" s="31" t="inlineStr">
        <is>
          <t>Foydalanuvchi Usta sifatida tizimga kirgan; 375px / 768px</t>
        </is>
      </c>
      <c r="H192" s="31" t="inlineStr">
        <is>
          <t>1. Asosiy sahifalardan o'tish</t>
        </is>
      </c>
      <c r="I192" s="31" t="inlineStr"/>
      <c r="J192" s="31" t="inlineStr">
        <is>
          <t>Gorizontal skroll yo'q, elementlar bir-birini yopmaydi</t>
        </is>
      </c>
      <c r="K192" s="31" t="inlineStr"/>
      <c r="L192" s="33" t="inlineStr">
        <is>
          <t>Qisman</t>
        </is>
      </c>
      <c r="M192" s="31" t="inlineStr">
        <is>
          <t>Skroll — avtomatik, ustma-ustlik — vizual</t>
        </is>
      </c>
      <c r="N192" s="33" t="inlineStr">
        <is>
          <t>Avtomatlashtirilmagan</t>
        </is>
      </c>
      <c r="O192" s="31" t="inlineStr"/>
      <c r="P192" s="33" t="inlineStr">
        <is>
          <t>Bajarilmagan</t>
        </is>
      </c>
      <c r="Q192" s="31" t="inlineStr"/>
    </row>
    <row r="193" ht="34" customHeight="1">
      <c r="A193" s="26" t="inlineStr">
        <is>
          <t>GEN-001</t>
        </is>
      </c>
      <c r="B193" s="27" t="inlineStr">
        <is>
          <t>Umumiy tekshiruvlar</t>
        </is>
      </c>
      <c r="C193" s="27" t="inlineStr">
        <is>
          <t>Xatolar</t>
        </is>
      </c>
      <c r="D193" s="28" t="inlineStr">
        <is>
          <t>404 sahifasi</t>
        </is>
      </c>
      <c r="E193" s="29" t="inlineStr">
        <is>
          <t>P3</t>
        </is>
      </c>
      <c r="F193" s="29" t="inlineStr">
        <is>
          <t>UI</t>
        </is>
      </c>
      <c r="G193" s="27" t="inlineStr">
        <is>
          <t>Foydalanuvchi Usta sifatida tizimga kirgan</t>
        </is>
      </c>
      <c r="H193" s="27" t="inlineStr">
        <is>
          <t>1. Mavjud bo'lmagan URL /uz/xyz ni ochish</t>
        </is>
      </c>
      <c r="I193" s="27" t="inlineStr"/>
      <c r="J193" s="27" t="inlineStr">
        <is>
          <t>Matn va «Bosh sahifa» tugmasi bilan 404 sahifasi; tugma bosh sahifaga olib boradi</t>
        </is>
      </c>
      <c r="K193" s="27" t="inlineStr"/>
      <c r="L193" s="29" t="inlineStr">
        <is>
          <t>Ha</t>
        </is>
      </c>
      <c r="M193" s="27" t="inlineStr"/>
      <c r="N193" s="29" t="inlineStr">
        <is>
          <t>Avtomatlashtirilmagan</t>
        </is>
      </c>
      <c r="O193" s="27" t="inlineStr"/>
      <c r="P193" s="29" t="inlineStr">
        <is>
          <t>Bajarilmagan</t>
        </is>
      </c>
      <c r="Q193" s="27" t="inlineStr"/>
    </row>
    <row r="194" ht="34" customHeight="1">
      <c r="A194" s="26" t="inlineStr">
        <is>
          <t>GEN-002</t>
        </is>
      </c>
      <c r="B194" s="27" t="inlineStr">
        <is>
          <t>Umumiy tekshiruvlar</t>
        </is>
      </c>
      <c r="C194" s="27" t="inlineStr">
        <is>
          <t>Barqarorlik</t>
        </is>
      </c>
      <c r="D194" s="28" t="inlineStr">
        <is>
          <t>Asosiy sahifalarda konsol xatolari va 5xx yo'q</t>
        </is>
      </c>
      <c r="E194" s="29" t="inlineStr">
        <is>
          <t>P2</t>
        </is>
      </c>
      <c r="F194" s="29" t="inlineStr">
        <is>
          <t>Technical</t>
        </is>
      </c>
      <c r="G194" s="27" t="inlineStr">
        <is>
          <t>Foydalanuvchi Usta sifatida tizimga kirgan</t>
        </is>
      </c>
      <c r="H194" s="27" t="inlineStr">
        <is>
          <t>1. Bosh sahifa → katalog → mahsulot → savat → rasmiylashtirish → profil yo'lidan o'tish</t>
        </is>
      </c>
      <c r="I194" s="27" t="inlineStr"/>
      <c r="J194" s="27" t="inlineStr">
        <is>
          <t>Konsolda JS-xatolar yo'q, API dan 4xx/5xx javoblar yo'q (kutilganlaridan tashqari)</t>
        </is>
      </c>
      <c r="K194" s="27" t="inlineStr"/>
      <c r="L194" s="29" t="inlineStr">
        <is>
          <t>Ha</t>
        </is>
      </c>
      <c r="M194" s="27" t="inlineStr">
        <is>
          <t>Playwright da console/response tinglovchilari</t>
        </is>
      </c>
      <c r="N194" s="29" t="inlineStr">
        <is>
          <t>Avtomatlashtirilmagan</t>
        </is>
      </c>
      <c r="O194" s="27" t="inlineStr"/>
      <c r="P194" s="29" t="inlineStr">
        <is>
          <t>Bajarilmagan</t>
        </is>
      </c>
      <c r="Q194" s="27" t="inlineStr"/>
    </row>
    <row r="195" ht="34" customHeight="1">
      <c r="A195" s="26" t="inlineStr">
        <is>
          <t>GEN-003</t>
        </is>
      </c>
      <c r="B195" s="27" t="inlineStr">
        <is>
          <t>Umumiy tekshiruvlar</t>
        </is>
      </c>
      <c r="C195" s="27" t="inlineStr">
        <is>
          <t>SEO</t>
        </is>
      </c>
      <c r="D195" s="28" t="inlineStr">
        <is>
          <t>Sahifa tablari sarlavhalari (title)</t>
        </is>
      </c>
      <c r="E195" s="29" t="inlineStr">
        <is>
          <t>P3</t>
        </is>
      </c>
      <c r="F195" s="29" t="inlineStr">
        <is>
          <t>UI</t>
        </is>
      </c>
      <c r="G195" s="27" t="inlineStr">
        <is>
          <t>Foydalanuvchi Usta sifatida tizimga kirgan</t>
        </is>
      </c>
      <c r="H195" s="27" t="inlineStr">
        <is>
          <t>1. Asosiy sahifalarda title ni tekshirish</t>
        </is>
      </c>
      <c r="I195" s="27" t="inlineStr"/>
      <c r="J195" s="27" t="inlineStr">
        <is>
          <t>To'g'ri title, masalan «Savat | Aros», «Buyurtmani tasdiqlash | Aros», mahsulot nomi</t>
        </is>
      </c>
      <c r="K195" s="27" t="inlineStr"/>
      <c r="L195" s="29" t="inlineStr">
        <is>
          <t>Ha</t>
        </is>
      </c>
      <c r="M195" s="27" t="inlineStr"/>
      <c r="N195" s="29" t="inlineStr">
        <is>
          <t>Avtomatlashtirilmagan</t>
        </is>
      </c>
      <c r="O195" s="27" t="inlineStr"/>
      <c r="P195" s="29" t="inlineStr">
        <is>
          <t>Bajarilmagan</t>
        </is>
      </c>
      <c r="Q195" s="27" t="inlineStr"/>
    </row>
    <row r="196" ht="34" customHeight="1">
      <c r="A196" s="26" t="inlineStr">
        <is>
          <t>GEN-004</t>
        </is>
      </c>
      <c r="B196" s="27" t="inlineStr">
        <is>
          <t>Umumiy tekshiruvlar</t>
        </is>
      </c>
      <c r="C196" s="27" t="inlineStr">
        <is>
          <t>Yordam</t>
        </is>
      </c>
      <c r="D196" s="28" t="inlineStr">
        <is>
          <t>«Aros yordami» chati</t>
        </is>
      </c>
      <c r="E196" s="29" t="inlineStr">
        <is>
          <t>P3</t>
        </is>
      </c>
      <c r="F196" s="29" t="inlineStr">
        <is>
          <t>Functional</t>
        </is>
      </c>
      <c r="G196" s="27" t="inlineStr">
        <is>
          <t>Foydalanuvchi Usta sifatida tizimga kirgan</t>
        </is>
      </c>
      <c r="H196" s="27" t="inlineStr">
        <is>
          <t>1. O'ng pastki burchakdagi chat tugmasini bosish</t>
        </is>
      </c>
      <c r="I196" s="27" t="inlineStr"/>
      <c r="J196" s="27" t="inlineStr">
        <is>
          <t>Yordam oynasi/havolasi (Telegram-bot) ochiladi</t>
        </is>
      </c>
      <c r="K196" s="27" t="inlineStr"/>
      <c r="L196" s="29" t="inlineStr">
        <is>
          <t>Qisman</t>
        </is>
      </c>
      <c r="M196" s="27" t="inlineStr">
        <is>
          <t>Ochilishi — ha, yozishma — yo'q</t>
        </is>
      </c>
      <c r="N196" s="29" t="inlineStr">
        <is>
          <t>Avtomatlashtirilmagan</t>
        </is>
      </c>
      <c r="O196" s="27" t="inlineStr"/>
      <c r="P196" s="29" t="inlineStr">
        <is>
          <t>Bajarilmagan</t>
        </is>
      </c>
      <c r="Q196" s="27" t="inlineStr"/>
    </row>
    <row r="197" ht="34" customHeight="1">
      <c r="A197" s="26" t="inlineStr">
        <is>
          <t>GEN-005</t>
        </is>
      </c>
      <c r="B197" s="27" t="inlineStr">
        <is>
          <t>Umumiy tekshiruvlar</t>
        </is>
      </c>
      <c r="C197" s="27" t="inlineStr">
        <is>
          <t>Unumdorlik</t>
        </is>
      </c>
      <c r="D197" s="28" t="inlineStr">
        <is>
          <t>Bosh sahifaning yuklanish vaqti</t>
        </is>
      </c>
      <c r="E197" s="29" t="inlineStr">
        <is>
          <t>P3</t>
        </is>
      </c>
      <c r="F197" s="29" t="inlineStr">
        <is>
          <t>Non-functional</t>
        </is>
      </c>
      <c r="G197" s="27" t="inlineStr">
        <is>
          <t>Foydalanuvchi Usta sifatida tizimga kirgan</t>
        </is>
      </c>
      <c r="H197" s="27" t="inlineStr">
        <is>
          <t>1. Bosh sahifani tozalangan kesh bilan ochish</t>
        </is>
      </c>
      <c r="I197" s="27" t="inlineStr"/>
      <c r="J197" s="27" t="inlineStr">
        <is>
          <t>Asosiy kontent &lt; 3 soniyada yuklanadi</t>
        </is>
      </c>
      <c r="K197" s="27" t="inlineStr"/>
      <c r="L197" s="29" t="inlineStr">
        <is>
          <t>Qisman</t>
        </is>
      </c>
      <c r="M197" s="27" t="inlineStr">
        <is>
          <t>Playwright da metrikalar bor, lekin staging tezligi beqaror</t>
        </is>
      </c>
      <c r="N197" s="29" t="inlineStr">
        <is>
          <t>Avtomatlashtirilmagan</t>
        </is>
      </c>
      <c r="O197" s="27" t="inlineStr"/>
      <c r="P197" s="29" t="inlineStr">
        <is>
          <t>Bajarilmagan</t>
        </is>
      </c>
      <c r="Q197" s="27" t="inlineStr"/>
    </row>
  </sheetData>
  <autoFilter ref="A1:Q197"/>
  <conditionalFormatting sqref="E2:E197">
    <cfRule type="expression" priority="1" dxfId="2">
      <formula>$E2="P1"</formula>
    </cfRule>
    <cfRule type="expression" priority="2" dxfId="3">
      <formula>$E2="P2"</formula>
    </cfRule>
    <cfRule type="expression" priority="3" dxfId="4">
      <formula>$E2="P3"</formula>
    </cfRule>
  </conditionalFormatting>
  <conditionalFormatting sqref="L2:L197">
    <cfRule type="expression" priority="4" dxfId="5">
      <formula>$L2="Ha"</formula>
    </cfRule>
    <cfRule type="expression" priority="5" dxfId="6">
      <formula>$L2="Qisman"</formula>
    </cfRule>
    <cfRule type="expression" priority="6" dxfId="2">
      <formula>$L2="Yo'q"</formula>
    </cfRule>
  </conditionalFormatting>
  <conditionalFormatting sqref="N2:N197">
    <cfRule type="expression" priority="7" dxfId="7">
      <formula>$N2="Avtomatlashtirilgan"</formula>
    </cfRule>
    <cfRule type="expression" priority="8" dxfId="8">
      <formula>$N2="Qisman"</formula>
    </cfRule>
    <cfRule type="expression" priority="9" dxfId="9">
      <formula>$N2="Avtomatlashtirilmagan"</formula>
    </cfRule>
  </conditionalFormatting>
  <conditionalFormatting sqref="P2:P197">
    <cfRule type="expression" priority="10" dxfId="7">
      <formula>$P2="Passed"</formula>
    </cfRule>
    <cfRule type="expression" priority="11" dxfId="1">
      <formula>$P2="Failed"</formula>
    </cfRule>
    <cfRule type="expression" priority="12" dxfId="10">
      <formula>$P2="Blocked"</formula>
    </cfRule>
    <cfRule type="expression" priority="13" dxfId="4">
      <formula>$P2="Skipped"</formula>
    </cfRule>
  </conditionalFormatting>
  <dataValidations count="4">
    <dataValidation sqref="E2:E197" showDropDown="0" showInputMessage="0" showErrorMessage="0" allowBlank="1" type="list">
      <formula1>"P1,P2,P3"</formula1>
    </dataValidation>
    <dataValidation sqref="L2:L197" showDropDown="0" showInputMessage="0" showErrorMessage="0" allowBlank="1" type="list">
      <formula1>"Ha,Qisman,Yo'q"</formula1>
    </dataValidation>
    <dataValidation sqref="N2:N197" showDropDown="0" showInputMessage="0" showErrorMessage="0" allowBlank="1" type="list">
      <formula1>"Avtomatlashtirilgan,Qisman,Avtomatlashtirilmagan"</formula1>
    </dataValidation>
    <dataValidation sqref="P2:P197" showDropDown="0" showInputMessage="0" showErrorMessage="0" allowBlank="1" type="list">
      <formula1>"Bajarilmagan,Passed,Failed,Blocked,Skipped"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36" customWidth="1" min="4" max="4"/>
    <col width="12" customWidth="1" min="5" max="5"/>
    <col width="40" customWidth="1" min="6" max="6"/>
    <col width="14" customWidth="1" min="7" max="7"/>
  </cols>
  <sheetData>
    <row r="1">
      <c r="A1" s="9" t="inlineStr">
        <is>
          <t>№</t>
        </is>
      </c>
      <c r="B1" s="9" t="inlineStr">
        <is>
          <t>Kategoriya</t>
        </is>
      </c>
      <c r="C1" s="9" t="inlineStr">
        <is>
          <t>Tavsif</t>
        </is>
      </c>
      <c r="D1" s="9" t="inlineStr">
        <is>
          <t>Qayerda</t>
        </is>
      </c>
      <c r="E1" s="9" t="inlineStr">
        <is>
          <t>Jiddiylik</t>
        </is>
      </c>
      <c r="F1" s="9" t="inlineStr">
        <is>
          <t>Izoh</t>
        </is>
      </c>
      <c r="G1" s="9" t="inlineStr">
        <is>
          <t>Holat</t>
        </is>
      </c>
    </row>
    <row r="2" ht="30" customHeight="1">
      <c r="A2" s="33" t="n">
        <v>1</v>
      </c>
      <c r="B2" s="31" t="inlineStr">
        <is>
          <t>Lokalizatsiya</t>
        </is>
      </c>
      <c r="C2" s="31" t="inlineStr">
        <is>
          <t>RU-versiyada qidiruv placeholderi o'zbekcha: «Mahsulot nomini kiriting...»</t>
        </is>
      </c>
      <c r="D2" s="31" t="inlineStr">
        <is>
          <t>Profil, katalog (/ru/filter?categories=45), navigatsiyadan keyin bosh sahifa</t>
        </is>
      </c>
      <c r="E2" s="33" t="inlineStr">
        <is>
          <t>Medium</t>
        </is>
      </c>
      <c r="F2" s="31" t="inlineStr">
        <is>
          <t>Kutilgan: «Введите название продукта...»</t>
        </is>
      </c>
      <c r="G2" s="33" t="inlineStr">
        <is>
          <t>Yangi</t>
        </is>
      </c>
    </row>
    <row r="3" ht="30" customHeight="1">
      <c r="A3" s="33" t="n">
        <v>2</v>
      </c>
      <c r="B3" s="31" t="inlineStr">
        <is>
          <t>Lokalizatsiya</t>
        </is>
      </c>
      <c r="C3" s="31" t="inlineStr">
        <is>
          <t>«Mening hamyonim»: bo'sh holatda «no_orders» texnik kaliti chiqadi (UZ va RU)</t>
        </is>
      </c>
      <c r="D3" s="31" t="inlineStr">
        <is>
          <t>/uz/profile/wallet, /ru/profile/wallet</t>
        </is>
      </c>
      <c r="E3" s="33" t="inlineStr">
        <is>
          <t>Medium</t>
        </is>
      </c>
      <c r="F3" s="31" t="inlineStr">
        <is>
          <t>Tarjima kaliti yo'q</t>
        </is>
      </c>
      <c r="G3" s="33" t="inlineStr">
        <is>
          <t>Yangi</t>
        </is>
      </c>
    </row>
    <row r="4" ht="30" customHeight="1">
      <c r="A4" s="33" t="n">
        <v>3</v>
      </c>
      <c r="B4" s="31" t="inlineStr">
        <is>
          <t>Lokalizatsiya</t>
        </is>
      </c>
      <c r="C4" s="31" t="inlineStr">
        <is>
          <t>To'lov holati «canceled» tarjima qilinmagan (UZ va RU)</t>
        </is>
      </c>
      <c r="D4" s="31" t="inlineStr">
        <is>
          <t>/uz/profile/orders, buyurtma tafsiloti</t>
        </is>
      </c>
      <c r="E4" s="33" t="inlineStr">
        <is>
          <t>Low</t>
        </is>
      </c>
      <c r="F4" s="31" t="inlineStr">
        <is>
          <t>Kutilgan: «Bekor qilindi» / «Отменён»</t>
        </is>
      </c>
      <c r="G4" s="33" t="inlineStr">
        <is>
          <t>Yangi</t>
        </is>
      </c>
    </row>
    <row r="5" ht="30" customHeight="1">
      <c r="A5" s="33" t="n">
        <v>4</v>
      </c>
      <c r="B5" s="31" t="inlineStr">
        <is>
          <t>Lokalizatsiya</t>
        </is>
      </c>
      <c r="C5" s="31" t="inlineStr">
        <is>
          <t>RU-versiyada «Мои запросы»dagi «Hamkor» tabi tarjima qilinmagan</t>
        </is>
      </c>
      <c r="D5" s="31" t="inlineStr">
        <is>
          <t>/ru/profile/request</t>
        </is>
      </c>
      <c r="E5" s="33" t="inlineStr">
        <is>
          <t>Low</t>
        </is>
      </c>
      <c r="F5" s="31" t="inlineStr">
        <is>
          <t>Kutilgan: «Партнёр»</t>
        </is>
      </c>
      <c r="G5" s="33" t="inlineStr">
        <is>
          <t>Yangi</t>
        </is>
      </c>
    </row>
    <row r="6" ht="30" customHeight="1">
      <c r="A6" s="33" t="n">
        <v>5</v>
      </c>
      <c r="B6" s="31" t="inlineStr">
        <is>
          <t>Lokalizatsiya</t>
        </is>
      </c>
      <c r="C6" s="31" t="inlineStr">
        <is>
          <t>RU-versiyada ombor nomi «Asosiy ombor»</t>
        </is>
      </c>
      <c r="D6" s="31" t="inlineStr">
        <is>
          <t>Mahsulot sahifasi pvId=9824</t>
        </is>
      </c>
      <c r="E6" s="33" t="inlineStr">
        <is>
          <t>Low</t>
        </is>
      </c>
      <c r="F6" s="31" t="inlineStr">
        <is>
          <t>Kutilgan: «Основной склад»</t>
        </is>
      </c>
      <c r="G6" s="33" t="inlineStr">
        <is>
          <t>Yangi</t>
        </is>
      </c>
    </row>
    <row r="7" ht="30" customHeight="1">
      <c r="A7" s="33" t="n">
        <v>6</v>
      </c>
      <c r="B7" s="31" t="inlineStr">
        <is>
          <t>Matn</t>
        </is>
      </c>
      <c r="C7" s="31" t="inlineStr">
        <is>
          <t>RU-versiyada saralashda imlo xatosi: «Сначало дешевые/дорогие/старые/новые»</t>
        </is>
      </c>
      <c r="D7" s="31" t="inlineStr">
        <is>
          <t>Katalog → «Сортировка»</t>
        </is>
      </c>
      <c r="E7" s="33" t="inlineStr">
        <is>
          <t>Low</t>
        </is>
      </c>
      <c r="F7" s="31" t="inlineStr">
        <is>
          <t>To'g'risi: «Сначала»</t>
        </is>
      </c>
      <c r="G7" s="33" t="inlineStr">
        <is>
          <t>Yangi</t>
        </is>
      </c>
    </row>
    <row r="8" ht="30" customHeight="1">
      <c r="A8" s="33" t="n">
        <v>7</v>
      </c>
      <c r="B8" s="31" t="inlineStr">
        <is>
          <t>Rasmlar</t>
        </is>
      </c>
      <c r="C8" s="31" t="inlineStr">
        <is>
          <t>Katalog menyusida «Электроника» va «Мебель» kategoriyalari belgilari buzilgan</t>
        </is>
      </c>
      <c r="D8" s="31" t="inlineStr">
        <is>
          <t>«Katalog» menyusi</t>
        </is>
      </c>
      <c r="E8" s="33" t="inlineStr">
        <is>
          <t>Low</t>
        </is>
      </c>
      <c r="F8" s="31" t="inlineStr"/>
      <c r="G8" s="33" t="inlineStr">
        <is>
          <t>Yangi</t>
        </is>
      </c>
    </row>
    <row r="9" ht="30" customHeight="1">
      <c r="A9" s="33" t="n">
        <v>8</v>
      </c>
      <c r="B9" s="31" t="inlineStr">
        <is>
          <t>Rasmlar</t>
        </is>
      </c>
      <c r="C9" s="31" t="inlineStr">
        <is>
          <t>Mahsulotning asosiy rasmi yo'q (alt «Product image»)</t>
        </is>
      </c>
      <c r="D9" s="31" t="inlineStr">
        <is>
          <t>Mahsulot sahifasi pvId=9824</t>
        </is>
      </c>
      <c r="E9" s="33" t="inlineStr">
        <is>
          <t>Low</t>
        </is>
      </c>
      <c r="F9" s="31" t="inlineStr">
        <is>
          <t>Ehtimol, staging dagi ma'lumotlar muammosi</t>
        </is>
      </c>
      <c r="G9" s="33" t="inlineStr">
        <is>
          <t>Yangi</t>
        </is>
      </c>
    </row>
    <row r="10" ht="30" customHeight="1">
      <c r="A10" s="33" t="n">
        <v>9</v>
      </c>
      <c r="B10" s="31" t="inlineStr">
        <is>
          <t>Rasmlar</t>
        </is>
      </c>
      <c r="C10" s="31" t="inlineStr">
        <is>
          <t>Savatda mahsulot miniatyuralari ko'rinmaydi</t>
        </is>
      </c>
      <c r="D10" s="31" t="inlineStr">
        <is>
          <t>/uz/cart</t>
        </is>
      </c>
      <c r="E10" s="33" t="inlineStr">
        <is>
          <t>Low</t>
        </is>
      </c>
      <c r="F10" s="31" t="inlineStr">
        <is>
          <t>Dizaynda miniatyuralar ko'zda tutilganini aniqlashtirish</t>
        </is>
      </c>
      <c r="G10" s="33" t="inlineStr">
        <is>
          <t>Yangi</t>
        </is>
      </c>
    </row>
    <row r="11" ht="30" customHeight="1">
      <c r="A11" s="33" t="n">
        <v>10</v>
      </c>
      <c r="B11" s="31" t="inlineStr">
        <is>
          <t>Ma'lumotlar</t>
        </is>
      </c>
      <c r="C11" s="31" t="inlineStr">
        <is>
          <t>«Aros ofisigacha» usulidagi buyurtmada yetkazish manzili — mijozning uy manzili</t>
        </is>
      </c>
      <c r="D11" s="31" t="inlineStr">
        <is>
          <t>/uz/profile/orders/334581</t>
        </is>
      </c>
      <c r="E11" s="33" t="inlineStr">
        <is>
          <t>Info</t>
        </is>
      </c>
      <c r="F11" s="31" t="inlineStr">
        <is>
          <t>Yangi buyurtmalarda (#518190, #518191) ofis manzili to'g'ri — ehtimol eski ma'lumotlar</t>
        </is>
      </c>
      <c r="G11" s="33" t="inlineStr">
        <is>
          <t>Yangi</t>
        </is>
      </c>
    </row>
    <row r="12" ht="30" customHeight="1">
      <c r="A12" s="33" t="n">
        <v>11</v>
      </c>
      <c r="B12" s="31" t="inlineStr">
        <is>
          <t>Filtrlar</t>
        </is>
      </c>
      <c r="C12" s="31" t="inlineStr">
        <is>
          <t>Narx filtri chegaralari mos emas: maydonlar 0–100 000, placeholder «50 000 000», polzunok max 99 000</t>
        </is>
      </c>
      <c r="D12" s="31" t="inlineStr">
        <is>
          <t>/uz/filter?categories=45</t>
        </is>
      </c>
      <c r="E12" s="33" t="inlineStr">
        <is>
          <t>Low</t>
        </is>
      </c>
      <c r="F12" s="31" t="inlineStr">
        <is>
          <t>99 000 dan qimmat mahsulotlar kesilmayotganini tekshirish</t>
        </is>
      </c>
      <c r="G12" s="33" t="inlineStr">
        <is>
          <t>Yangi</t>
        </is>
      </c>
    </row>
    <row r="13" ht="30" customHeight="1">
      <c r="A13" s="33" t="n">
        <v>12</v>
      </c>
      <c r="B13" s="31" t="inlineStr">
        <is>
          <t>URL</t>
        </is>
      </c>
      <c r="C13" s="31" t="inlineStr">
        <is>
          <t>Kategoriya parametrlari turlicha: menyu ?categories=, «non bo'laklari» — ?category=</t>
        </is>
      </c>
      <c r="D13" s="31" t="inlineStr">
        <is>
          <t>Katalog / mahsulot sahifasi</t>
        </is>
      </c>
      <c r="E13" s="33" t="inlineStr">
        <is>
          <t>Low</t>
        </is>
      </c>
      <c r="F13" s="31" t="inlineStr">
        <is>
          <t>Ikkala havola bir xil natija berishini tekshirish</t>
        </is>
      </c>
      <c r="G13" s="33" t="inlineStr">
        <is>
          <t>Yangi</t>
        </is>
      </c>
    </row>
    <row r="14" ht="30" customHeight="1">
      <c r="A14" s="33" t="n">
        <v>13</v>
      </c>
      <c r="B14" s="31" t="inlineStr">
        <is>
          <t>Navigatsiya</t>
        </is>
      </c>
      <c r="C14" s="31" t="inlineStr">
        <is>
          <t>Futerdagi ayrim havolalar /coming-soon zaglushkasiga olib boradi</t>
        </is>
      </c>
      <c r="D14" s="31" t="inlineStr">
        <is>
          <t>Futer</t>
        </is>
      </c>
      <c r="E14" s="33" t="inlineStr">
        <is>
          <t>Info</t>
        </is>
      </c>
      <c r="F14" s="31" t="inlineStr">
        <is>
          <t>Kutilgan zaglushkalar ro'yxatini qayd etish</t>
        </is>
      </c>
      <c r="G14" s="33" t="inlineStr">
        <is>
          <t>Yangi</t>
        </is>
      </c>
    </row>
    <row r="15" ht="30" customHeight="1">
      <c r="A15" s="33" t="n">
        <v>14</v>
      </c>
      <c r="B15" s="31" t="inlineStr">
        <is>
          <t>Buyurtmalar</t>
        </is>
      </c>
      <c r="C15" s="31" t="inlineStr">
        <is>
          <t>Bekor qilingandan keyin «Mening buyurtmalarim» ro'yxati sahifa yangilanguncha eski holatni ko'rsatadi</t>
        </is>
      </c>
      <c r="D15" s="31" t="inlineStr">
        <is>
          <t>Buyurtma tafsiloti → bekor qilish → ro'yxat (#518190)</t>
        </is>
      </c>
      <c r="E15" s="33" t="inlineStr">
        <is>
          <t>Medium</t>
        </is>
      </c>
      <c r="F15" s="31" t="inlineStr">
        <is>
          <t>F5 dan keyin holat «Bekor qilindi»</t>
        </is>
      </c>
      <c r="G15" s="33" t="inlineStr">
        <is>
          <t>Yangi</t>
        </is>
      </c>
    </row>
    <row r="16" ht="30" customHeight="1">
      <c r="A16" s="33" t="n">
        <v>15</v>
      </c>
      <c r="B16" s="31" t="inlineStr">
        <is>
          <t>Bildirishnomalar</t>
        </is>
      </c>
      <c r="C16" s="31" t="inlineStr">
        <is>
          <t>Bekor qilish bildirishnomasi matni — faqat sabab («Xato qilib buyurtma qilib yuboribman»), «Siz buyurtmani bekor qildingiz. Sabab: …» shablonisiz</t>
        </is>
      </c>
      <c r="D16" s="31" t="inlineStr">
        <is>
          <t>/uz/profile/notifications</t>
        </is>
      </c>
      <c r="E16" s="33" t="inlineStr">
        <is>
          <t>Low</t>
        </is>
      </c>
      <c r="F16" s="31" t="inlineStr">
        <is>
          <t>PRD «Buyurtmani bekor qilish» §6.2 (AIDT-645) — joriy qilinganini aniqlashtirish</t>
        </is>
      </c>
      <c r="G16" s="33" t="inlineStr">
        <is>
          <t>Yangi</t>
        </is>
      </c>
    </row>
    <row r="17" ht="30" customHeight="1">
      <c r="A17" s="33" t="n">
        <v>16</v>
      </c>
      <c r="B17" s="31" t="inlineStr">
        <is>
          <t>To'lovni almashtirish</t>
        </is>
      </c>
      <c r="C17" s="31" t="inlineStr">
        <is>
          <t>Ball 0 bo'lsa ham «Keshbek bilan» varianti faol; tanlanganda «Tanlangan to'lov turi qo'llab-quvvatlanmaydi» xatosi chiqadi</t>
        </is>
      </c>
      <c r="D17" s="31" t="inlineStr">
        <is>
          <t>Buyurtma tafsiloti #518191 → «To'lov usulini o'zgartirish»</t>
        </is>
      </c>
      <c r="E17" s="33" t="inlineStr">
        <is>
          <t>Medium</t>
        </is>
      </c>
      <c r="F17" s="31" t="inlineStr">
        <is>
          <t>PRD Change Payment Method: ball yetarli bo'lmasa variant sababi bilan faol emas bo'lishi kerak</t>
        </is>
      </c>
      <c r="G17" s="33" t="inlineStr">
        <is>
          <t>Yangi</t>
        </is>
      </c>
    </row>
    <row r="18" ht="30" customHeight="1">
      <c r="A18" s="33" t="n">
        <v>17</v>
      </c>
      <c r="B18" s="31" t="inlineStr">
        <is>
          <t>Lokalizatsiya</t>
        </is>
      </c>
      <c r="C18" s="31" t="inlineStr">
        <is>
          <t>Bitta to'lov usuli turlicha nomlangan: rasmiylashtirishda «Ball», to'lovni almashtirish oynasida «Keshbek bilan» («Кешбек»)</t>
        </is>
      </c>
      <c r="D18" s="31" t="inlineStr">
        <is>
          <t>/uz/confirmation, buyurtma tafsiloti</t>
        </is>
      </c>
      <c r="E18" s="33" t="inlineStr">
        <is>
          <t>Low</t>
        </is>
      </c>
      <c r="F18" s="31" t="inlineStr">
        <is>
          <t>Kutilgan: yagona nom «Ball»</t>
        </is>
      </c>
      <c r="G18" s="33" t="inlineStr">
        <is>
          <t>Yangi</t>
        </is>
      </c>
    </row>
    <row r="19" ht="30" customHeight="1">
      <c r="A19" s="33" t="n">
        <v>18</v>
      </c>
      <c r="B19" s="31" t="inlineStr">
        <is>
          <t>Buyurtmalar</t>
        </is>
      </c>
      <c r="C19" s="31" t="inlineStr">
        <is>
          <t>Buyurtma tafsilotida «Buyurtma narxi», «Chegirma» va «To'plangan ballar» yo'q</t>
        </is>
      </c>
      <c r="D19" s="31" t="inlineStr">
        <is>
          <t>/uz/profile/orders/{id}</t>
        </is>
      </c>
      <c r="E19" s="33" t="inlineStr">
        <is>
          <t>Medium</t>
        </is>
      </c>
      <c r="F19" s="31" t="inlineStr">
        <is>
          <t>PRD My Orders §4.5</t>
        </is>
      </c>
      <c r="G19" s="33" t="inlineStr">
        <is>
          <t>Yangi</t>
        </is>
      </c>
    </row>
    <row r="20" ht="30" customHeight="1">
      <c r="A20" s="33" t="n">
        <v>19</v>
      </c>
      <c r="B20" s="31" t="inlineStr">
        <is>
          <t>Buyurtmalar</t>
        </is>
      </c>
      <c r="C20" s="31" t="inlineStr">
        <is>
          <t>Vebda «Mening buyurtmalarim»da ID bo'yicha qidiruv va to'lov turi filtri yo'q — faqat davr</t>
        </is>
      </c>
      <c r="D20" s="31" t="inlineStr">
        <is>
          <t>/uz/profile/orders → «Filterlar»</t>
        </is>
      </c>
      <c r="E20" s="33" t="inlineStr">
        <is>
          <t>Low</t>
        </is>
      </c>
      <c r="F20" s="31" t="inlineStr">
        <is>
          <t>PRD My Orders §4.3–4.4 — faqat mobil uchunmi, aniqlashtirish</t>
        </is>
      </c>
      <c r="G20" s="33" t="inlineStr">
        <is>
          <t>Yangi</t>
        </is>
      </c>
    </row>
    <row r="21" ht="30" customHeight="1">
      <c r="A21" s="33" t="n">
        <v>20</v>
      </c>
      <c r="B21" s="31" t="inlineStr">
        <is>
          <t>Hamyon</t>
        </is>
      </c>
      <c r="C21" s="31" t="inlineStr">
        <is>
          <t>«Hamyon tranzaksiyalari» sahifasida Balans / Kirimlar / Chiqimlar xulosasi yo'q</t>
        </is>
      </c>
      <c r="D21" s="31" t="inlineStr">
        <is>
          <t>/uz/profile/wallet/transactions</t>
        </is>
      </c>
      <c r="E21" s="33" t="inlineStr">
        <is>
          <t>Low</t>
        </is>
      </c>
      <c r="F21" s="31" t="inlineStr">
        <is>
          <t>PRD Wallet transactions §5.3</t>
        </is>
      </c>
      <c r="G21" s="33" t="inlineStr">
        <is>
          <t>Yangi</t>
        </is>
      </c>
    </row>
    <row r="22" ht="30" customHeight="1">
      <c r="A22" s="33" t="n">
        <v>21</v>
      </c>
      <c r="B22" s="31" t="inlineStr">
        <is>
          <t>Rasmiylashtirish</t>
        </is>
      </c>
      <c r="C22" s="31" t="inlineStr">
        <is>
          <t>«Aros ofisigacha» usulida «Manzil qo'shish» tugmasi ko'rsatiladi</t>
        </is>
      </c>
      <c r="D22" s="31" t="inlineStr">
        <is>
          <t>/uz/confirmation</t>
        </is>
      </c>
      <c r="E22" s="33" t="inlineStr">
        <is>
          <t>Low</t>
        </is>
      </c>
      <c r="F22" s="31" t="inlineStr">
        <is>
          <t>PRD Client Confirmation CHK-006.3 (DRAFT): ofis uchun yashirin bo'lishi kerak</t>
        </is>
      </c>
      <c r="G22" s="33" t="inlineStr">
        <is>
          <t>Yangi</t>
        </is>
      </c>
    </row>
    <row r="23" ht="30" customHeight="1">
      <c r="A23" s="33" t="n">
        <v>22</v>
      </c>
      <c r="B23" s="31" t="inlineStr">
        <is>
          <t>Lokalizatsiya</t>
        </is>
      </c>
      <c r="C23" s="31" t="inlineStr">
        <is>
          <t>RU-versiyada bildirishnomalardagi sana formati «28-октябрь», «28 октября» o'rniga</t>
        </is>
      </c>
      <c r="D23" s="31" t="inlineStr">
        <is>
          <t>/ru/profile/notifications</t>
        </is>
      </c>
      <c r="E23" s="33" t="inlineStr">
        <is>
          <t>Low</t>
        </is>
      </c>
      <c r="F23" s="31" t="inlineStr"/>
      <c r="G23" s="33" t="inlineStr">
        <is>
          <t>Yangi</t>
        </is>
      </c>
    </row>
    <row r="24" ht="30" customHeight="1">
      <c r="A24" s="33" t="n">
        <v>23</v>
      </c>
      <c r="B24" s="31" t="inlineStr">
        <is>
          <t>Bekor qilish</t>
        </is>
      </c>
      <c r="C24" s="31" t="inlineStr">
        <is>
          <t>«Boshqa sabab»da 3 belgili izoh qabul qilinadi va buyurtma bekor qilinadi</t>
        </is>
      </c>
      <c r="D24" s="31" t="inlineStr">
        <is>
          <t>Buyurtma #518191 → «Buyurtmani bekor qilish»</t>
        </is>
      </c>
      <c r="E24" s="33" t="inlineStr">
        <is>
          <t>Low</t>
        </is>
      </c>
      <c r="F24" s="31" t="inlineStr">
        <is>
          <t>PRD BQ-001.4: izoh 5–200 belgi</t>
        </is>
      </c>
      <c r="G24" s="33" t="inlineStr">
        <is>
          <t>Yangi</t>
        </is>
      </c>
    </row>
    <row r="25" ht="30" customHeight="1">
      <c r="A25" s="33" t="n">
        <v>24</v>
      </c>
      <c r="B25" s="31" t="inlineStr">
        <is>
          <t>Lokalizatsiya</t>
        </is>
      </c>
      <c r="C25" s="31" t="inlineStr">
        <is>
          <t>Yangi buyurtma holati UZ da «Yig'ilmoqda», RU da esa «Готов» — ma'nosi mos emas</t>
        </is>
      </c>
      <c r="D25" s="31" t="inlineStr">
        <is>
          <t>/uz va /ru profile/orders/{id}</t>
        </is>
      </c>
      <c r="E25" s="33" t="inlineStr">
        <is>
          <t>Medium</t>
        </is>
      </c>
      <c r="F25" s="31" t="inlineStr">
        <is>
          <t>RU da «Собирается» bo'lishi kerak</t>
        </is>
      </c>
      <c r="G25" s="33" t="inlineStr">
        <is>
          <t>Yangi</t>
        </is>
      </c>
    </row>
    <row r="26" ht="30" customHeight="1">
      <c r="A26" s="33" t="n">
        <v>25</v>
      </c>
      <c r="B26" s="31" t="inlineStr">
        <is>
          <t>Matn</t>
        </is>
      </c>
      <c r="C26" s="31" t="inlineStr">
        <is>
          <t>Imlo xatolari: «Muvafaqqiyatli amalga oshirildi!» (to'g'risi: Muvaffaqiyatli), «BTS uyingizga elitib berish» (eltib), «Sizning buyurtmalarinigiz mavjud emas» (buyurtmalaringiz), «ko'rishigiz» (ko'rishingiz)</t>
        </is>
      </c>
      <c r="D26" s="31" t="inlineStr">
        <is>
          <t>Rasmiylashtirish xabari, yetkazish turlari, «Maxsus buyurtma»</t>
        </is>
      </c>
      <c r="E26" s="33" t="inlineStr">
        <is>
          <t>Low</t>
        </is>
      </c>
      <c r="F26" s="31" t="inlineStr"/>
      <c r="G26" s="33" t="inlineStr">
        <is>
          <t>Yangi</t>
        </is>
      </c>
    </row>
    <row r="27" ht="30" customHeight="1">
      <c r="A27" s="33" t="n">
        <v>26</v>
      </c>
      <c r="B27" s="31" t="inlineStr">
        <is>
          <t>Rasmiylashtirish</t>
        </is>
      </c>
      <c r="C27" s="31" t="inlineStr">
        <is>
          <t>Ball balansi «0.00 Ball» ko'rinishida — kasr bilan va so'zi takrorlanadi</t>
        </is>
      </c>
      <c r="D27" s="31" t="inlineStr">
        <is>
          <t>/uz/confirmation</t>
        </is>
      </c>
      <c r="E27" s="33" t="inlineStr">
        <is>
          <t>Low</t>
        </is>
      </c>
      <c r="F27" s="31" t="inlineStr">
        <is>
          <t>PRD Client Confirmation §15: butun son, birlik bir marta</t>
        </is>
      </c>
      <c r="G27" s="33" t="inlineStr">
        <is>
          <t>Yangi</t>
        </is>
      </c>
    </row>
    <row r="29">
      <c r="B29" s="34" t="inlineStr">
        <is>
          <t>Kamchiliklar staging'ni usta akkaunti bilan o'rganishda topilgan (28.10.2026). Bag ochishdan oldin qayta tekshiring.</t>
        </is>
      </c>
    </row>
  </sheetData>
  <autoFilter ref="A1:G27"/>
  <conditionalFormatting sqref="E2:E27">
    <cfRule type="expression" priority="1" dxfId="3">
      <formula>$E2="Medium"</formula>
    </cfRule>
    <cfRule type="expression" priority="2" dxfId="6">
      <formula>$E2="Low"</formula>
    </cfRule>
    <cfRule type="expression" priority="3" dxfId="11">
      <formula>$E2="Info"</formula>
    </cfRule>
  </conditionalFormatting>
  <dataValidations count="1">
    <dataValidation sqref="G2:G27" showDropDown="0" showInputMessage="0" showErrorMessage="0" allowBlank="1" type="list">
      <formula1>"Yangi,Bag ochildi,Bag emas,Tuzatildi"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9" t="inlineStr">
        <is>
          <t>PRD / sahifa</t>
        </is>
      </c>
      <c r="B1" s="9" t="inlineStr">
        <is>
          <t>Nima haqida</t>
        </is>
      </c>
      <c r="C1" s="9" t="inlineStr">
        <is>
          <t>Havola</t>
        </is>
      </c>
    </row>
    <row r="2">
      <c r="A2" s="31" t="inlineStr">
        <is>
          <t>13. Qarz va hamyon</t>
        </is>
      </c>
      <c r="B2" s="31" t="inlineStr">
        <is>
          <t>Admin panel bo'limi: qarz va hamyon</t>
        </is>
      </c>
      <c r="C2" s="35" t="inlineStr">
        <is>
          <t>https://arositdepartment.atlassian.net/wiki/spaces/~ArosMarket/pages/354320395</t>
        </is>
      </c>
    </row>
    <row r="3">
      <c r="A3" s="31" t="inlineStr">
        <is>
          <t>Debt Limit and Payment Deadline Management (B2B/B2M)</t>
        </is>
      </c>
      <c r="B3" s="31" t="inlineStr">
        <is>
          <t>Summa va kun limiti, qarz muddati, Hamyon bloklanishi</t>
        </is>
      </c>
      <c r="C3" s="35" t="inlineStr">
        <is>
          <t>https://arositdepartment.atlassian.net/wiki/spaces/~ArosMarket/pages/305004559</t>
        </is>
      </c>
    </row>
    <row r="4">
      <c r="A4" s="31" t="inlineStr">
        <is>
          <t>Muddati o'tgan qarzda ball bilan savdo cheklovi (DRAFT)</t>
        </is>
      </c>
      <c r="B4" s="31" t="inlineStr">
        <is>
          <t>Muddati o'tgan qarzda ball bilan to'lash taqiqi</t>
        </is>
      </c>
      <c r="C4" s="35" t="inlineStr">
        <is>
          <t>https://arositdepartment.atlassian.net/wiki/spaces/~ArosMarket/pages/346292227</t>
        </is>
      </c>
    </row>
    <row r="5">
      <c r="A5" s="31" t="inlineStr">
        <is>
          <t>Pay Debt</t>
        </is>
      </c>
      <c r="B5" s="31" t="inlineStr">
        <is>
          <t>Qarzni to'lash (admin panel), to'lov holatlari</t>
        </is>
      </c>
      <c r="C5" s="35" t="inlineStr">
        <is>
          <t>https://arositdepartment.atlassian.net/wiki/spaces/~ArosMarket/pages/292421633</t>
        </is>
      </c>
    </row>
    <row r="6">
      <c r="A6" s="31" t="inlineStr">
        <is>
          <t>Wallet / Point</t>
        </is>
      </c>
      <c r="B6" s="31" t="inlineStr">
        <is>
          <t>Hamyon va ball tranzaksiyalari (admin panel)</t>
        </is>
      </c>
      <c r="C6" s="35" t="inlineStr">
        <is>
          <t>https://arositdepartment.atlassian.net/wiki/spaces/~ArosMarket/pages/324108289</t>
        </is>
      </c>
    </row>
    <row r="7">
      <c r="A7" s="31" t="inlineStr">
        <is>
          <t>4. Buyurtmalar</t>
        </is>
      </c>
      <c r="B7" s="31" t="inlineStr">
        <is>
          <t>Admin panel bo'limi: buyurtmalar</t>
        </is>
      </c>
      <c r="C7" s="35" t="inlineStr">
        <is>
          <t>https://arositdepartment.atlassian.net/wiki/spaces/~ArosMarket/pages/354582529</t>
        </is>
      </c>
    </row>
    <row r="8">
      <c r="A8" s="31" t="inlineStr">
        <is>
          <t>Client Confirmation Page (DRAFT)</t>
        </is>
      </c>
      <c r="B8" s="31" t="inlineStr">
        <is>
          <t>Rasmiylashtirish: to'lov, yetkazish, Yandex, omborlar</t>
        </is>
      </c>
      <c r="C8" s="35" t="inlineStr">
        <is>
          <t>https://arositdepartment.atlassian.net/wiki/spaces/~ArosMarket/pages/317849606</t>
        </is>
      </c>
    </row>
    <row r="9">
      <c r="A9" s="31" t="inlineStr">
        <is>
          <t>Buyurtmani bekor qilish</t>
        </is>
      </c>
      <c r="B9" s="31" t="inlineStr">
        <is>
          <t>Bekor qilish sabablari va bildirishnoma matnlari</t>
        </is>
      </c>
      <c r="C9" s="35" t="inlineStr">
        <is>
          <t>https://arositdepartment.atlassian.net/wiki/spaces/~ArosMarket/pages/340525071</t>
        </is>
      </c>
    </row>
    <row r="10">
      <c r="A10" s="31" t="inlineStr">
        <is>
          <t>Change Payment Method</t>
        </is>
      </c>
      <c r="B10" s="31" t="inlineStr">
        <is>
          <t>Buyurtma to'lov usulini almashtirish</t>
        </is>
      </c>
      <c r="C10" s="35" t="inlineStr">
        <is>
          <t>https://arositdepartment.atlassian.net/wiki/spaces/~ArosMarket/pages/319750146</t>
        </is>
      </c>
    </row>
    <row r="11">
      <c r="A11" s="31" t="inlineStr">
        <is>
          <t>Client Order Comment</t>
        </is>
      </c>
      <c r="B11" s="31" t="inlineStr">
        <is>
          <t>Buyurtmaga izoh</t>
        </is>
      </c>
      <c r="C11" s="35" t="inlineStr">
        <is>
          <t>https://arositdepartment.atlassian.net/wiki/spaces/~ArosMarket/pages/330104833</t>
        </is>
      </c>
    </row>
    <row r="12">
      <c r="A12" s="31" t="inlineStr">
        <is>
          <t>Product Return</t>
        </is>
      </c>
      <c r="B12" s="31" t="inlineStr">
        <is>
          <t>Qaytarishlar (admin panel)</t>
        </is>
      </c>
      <c r="C12" s="35" t="inlineStr">
        <is>
          <t>https://arositdepartment.atlassian.net/wiki/spaces/~ArosMarket/pages/298024961</t>
        </is>
      </c>
    </row>
    <row r="13">
      <c r="A13" s="31" t="inlineStr">
        <is>
          <t>Sales window</t>
        </is>
      </c>
      <c r="B13" s="31" t="inlineStr">
        <is>
          <t>Maxsus buyurtma (Sotuv oynasi)</t>
        </is>
      </c>
      <c r="C13" s="35" t="inlineStr">
        <is>
          <t>https://arositdepartment.atlassian.net/wiki/spaces/~ArosMarket/pages/307167233</t>
        </is>
      </c>
    </row>
    <row r="14">
      <c r="A14" s="31" t="inlineStr">
        <is>
          <t>Mijoz rollari — narx turi</t>
        </is>
      </c>
      <c r="B14" s="31" t="inlineStr">
        <is>
          <t>Rollar bo'yicha B2C/B2M/B2B narxlar</t>
        </is>
      </c>
      <c r="C14" s="35" t="inlineStr">
        <is>
          <t>https://arositdepartment.atlassian.net/wiki/spaces/~ArosMarket/pages/351404033</t>
        </is>
      </c>
    </row>
    <row r="15">
      <c r="A15" s="31" t="inlineStr">
        <is>
          <t>My Orders</t>
        </is>
      </c>
      <c r="B15" s="31" t="inlineStr">
        <is>
          <t>Mening buyurtmalarim: tablar, holatlar, tafsilot</t>
        </is>
      </c>
      <c r="C15" s="35" t="inlineStr">
        <is>
          <t>https://arositdepartment.atlassian.net/wiki/spaces/~ArosMarket/pages/282525697</t>
        </is>
      </c>
    </row>
    <row r="16">
      <c r="A16" s="31" t="inlineStr">
        <is>
          <t>My Wallet</t>
        </is>
      </c>
      <c r="B16" s="31" t="inlineStr">
        <is>
          <t>Mening hamyonim: xulosa va qarz holatlari</t>
        </is>
      </c>
      <c r="C16" s="35" t="inlineStr">
        <is>
          <t>https://arositdepartment.atlassian.net/wiki/spaces/~ArosMarket/pages/233472001</t>
        </is>
      </c>
    </row>
    <row r="17">
      <c r="A17" s="31" t="inlineStr">
        <is>
          <t>Wallet transactions</t>
        </is>
      </c>
      <c r="B17" s="31" t="inlineStr">
        <is>
          <t>Hamyon tranzaksiyalari (mijoz)</t>
        </is>
      </c>
      <c r="C17" s="35" t="inlineStr">
        <is>
          <t>https://arositdepartment.atlassian.net/wiki/spaces/~ArosMarket/pages/277282818</t>
        </is>
      </c>
    </row>
    <row r="18">
      <c r="A18" s="31" t="inlineStr">
        <is>
          <t>Notifications</t>
        </is>
      </c>
      <c r="B18" s="31" t="inlineStr">
        <is>
          <t>Bildirishnomalar va qarz eslatmalari</t>
        </is>
      </c>
      <c r="C18" s="35" t="inlineStr">
        <is>
          <t>https://arositdepartment.atlassian.net/wiki/spaces/~ArosMarket/pages/233373697</t>
        </is>
      </c>
    </row>
    <row r="19">
      <c r="A19" s="31" t="inlineStr">
        <is>
          <t>Bo'lsa olar edim</t>
        </is>
      </c>
      <c r="B19" s="31" t="inlineStr">
        <is>
          <t>«Bo'lsa olar edim» tugmasi</t>
        </is>
      </c>
      <c r="C19" s="35" t="inlineStr">
        <is>
          <t>https://arositdepartment.atlassian.net/wiki/spaces/~ArosMarket/pages/324927496</t>
        </is>
      </c>
    </row>
    <row r="20">
      <c r="A20" s="31" t="inlineStr">
        <is>
          <t>Hisobni o'chirish (AIDT-692)</t>
        </is>
      </c>
      <c r="B20" s="31" t="inlineStr">
        <is>
          <t>Hisobni o'chirishdagi tekshiruvlar</t>
        </is>
      </c>
      <c r="C20" s="35" t="inlineStr">
        <is>
          <t>https://arositdepartment.atlassian.net/wiki/spaces/~ArosMarket/pages/361005057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2026-10-28T18:41:00Z</dcterms:created>
  <dcterms:modified xsi:type="dcterms:W3CDTF">2026-10-28T18:41:00Z</dcterms:modified>
</cp:coreProperties>
</file>