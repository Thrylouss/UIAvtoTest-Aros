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ст-кейсы" sheetId="2" state="visible" r:id="rId2"/>
    <sheet name="Замечания" sheetId="3" state="visible" r:id="rId3"/>
    <sheet name="Источники" sheetId="4" state="visible" r:id="rId4"/>
  </sheets>
  <definedNames>
    <definedName name="_xlnm._FilterDatabase" localSheetId="1" hidden="1">'Тест-кейсы'!$A$1:$Q$167</definedName>
    <definedName name="_xlnm.Print_Titles" localSheetId="1">'Тест-кейсы'!$1:$1</definedName>
    <definedName name="_xlnm._FilterDatabase" localSheetId="2" hidden="1">'Замечания'!$A$1:$G$6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7D32"/>
      <sz val="16"/>
    </font>
    <font>
      <name val="Arial"/>
      <i val="1"/>
      <color rgb="00616161"/>
      <sz val="10"/>
    </font>
    <font>
      <name val="Arial"/>
      <i val="1"/>
      <color rgb="009E9E9E"/>
      <sz val="9"/>
    </font>
    <font>
      <name val="Arial"/>
      <b val="1"/>
      <color rgb="002E7D32"/>
      <sz val="12"/>
    </font>
    <font>
      <name val="Arial"/>
      <i val="1"/>
      <color rgb="00616161"/>
      <sz val="9"/>
    </font>
    <font>
      <name val="Arial"/>
      <color rgb="001565C0"/>
      <sz val="10"/>
      <u val="single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4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2">
    <dxf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</font>
      <fill>
        <patternFill patternType="solid">
          <fgColor rgb="00EF9A9A"/>
          <bgColor rgb="00EF9A9A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</font>
      <fill>
        <patternFill patternType="solid">
          <fgColor rgb="00FFE0B2"/>
          <bgColor rgb="00FFE0B2"/>
        </patternFill>
      </fill>
    </dxf>
    <dxf>
      <font>
        <name val="Arial"/>
        <b val="1"/>
        <color rgb="00424242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F57F17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</font>
      <fill>
        <patternFill patternType="solid">
          <fgColor rgb="00A5D6A7"/>
          <bgColor rgb="00A5D6A7"/>
        </patternFill>
      </fill>
    </dxf>
    <dxf>
      <font>
        <name val="Arial"/>
        <b val="1"/>
        <color rgb="00F57F17"/>
      </font>
      <fill>
        <patternFill patternType="solid">
          <fgColor rgb="00FFF59D"/>
          <bgColor rgb="00FFF59D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b val="1"/>
        <color rgb="00E65100"/>
      </font>
      <fill>
        <patternFill patternType="solid">
          <fgColor rgb="00FFCC80"/>
          <bgColor rgb="00FFCC80"/>
        </patternFill>
      </fill>
    </dxf>
    <dxf>
      <font>
        <name val="Arial"/>
        <b val="1"/>
        <color rgb="000D47A1"/>
      </font>
      <fill>
        <patternFill patternType="solid">
          <fgColor rgb="00E3F2FD"/>
          <b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rositdepartment.atlassian.net/wiki/spaces/~ArosMarket/folder/354385922" TargetMode="External" Id="rId1" /><Relationship Type="http://schemas.openxmlformats.org/officeDocument/2006/relationships/hyperlink" Target="https://arositdepartment.atlassian.net/wiki/spaces/~ArosMarket/pages/333774849" TargetMode="External" Id="rId2" /><Relationship Type="http://schemas.openxmlformats.org/officeDocument/2006/relationships/hyperlink" Target="https://arositdepartment.atlassian.net/wiki/spaces/~ArosMarket/pages/304021505" TargetMode="External" Id="rId3" /><Relationship Type="http://schemas.openxmlformats.org/officeDocument/2006/relationships/hyperlink" Target="https://arositdepartment.atlassian.net/wiki/spaces/~ArosMarket/pages/305135617" TargetMode="External" Id="rId4" /><Relationship Type="http://schemas.openxmlformats.org/officeDocument/2006/relationships/hyperlink" Target="https://arositdepartment.atlassian.net/wiki/spaces/~ArosMarket/pages/324861953" TargetMode="External" Id="rId5" /><Relationship Type="http://schemas.openxmlformats.org/officeDocument/2006/relationships/hyperlink" Target="https://arositdepartment.atlassian.net/wiki/spaces/~ArosMarket/pages/376209409" TargetMode="External" Id="rId6" /><Relationship Type="http://schemas.openxmlformats.org/officeDocument/2006/relationships/hyperlink" Target="https://arositdepartment.atlassian.net/wiki/spaces/~ArosMarket/pages/154632194" TargetMode="External" Id="rId7" /><Relationship Type="http://schemas.openxmlformats.org/officeDocument/2006/relationships/hyperlink" Target="https://arositdepartment.atlassian.net/wiki/spaces/~ArosMarket/pages/377651202" TargetMode="External" Id="rId8" /><Relationship Type="http://schemas.openxmlformats.org/officeDocument/2006/relationships/hyperlink" Target="https://arositdepartment.atlassian.net/wiki/spaces/~ArosMarket/pages/292356097" TargetMode="External" Id="rId9" /><Relationship Type="http://schemas.openxmlformats.org/officeDocument/2006/relationships/hyperlink" Target="https://arositdepartment.atlassian.net/wiki/spaces/~ArosMarket/pages/307167233" TargetMode="External" Id="rId10" /><Relationship Type="http://schemas.openxmlformats.org/officeDocument/2006/relationships/hyperlink" Target="https://arositdepartment.atlassian.net/wiki/spaces/~ArosMarket/pages/298024961" TargetMode="External" Id="rId11" /><Relationship Type="http://schemas.openxmlformats.org/officeDocument/2006/relationships/hyperlink" Target="https://arositdepartment.atlassian.net/wiki/spaces/~ArosMarket/pages/233537537" TargetMode="External" Id="rId12" /><Relationship Type="http://schemas.openxmlformats.org/officeDocument/2006/relationships/hyperlink" Target="https://arositdepartment.atlassian.net/wiki/spaces/~ArosMarket/pages/351404033" TargetMode="External" Id="rId13" /><Relationship Type="http://schemas.openxmlformats.org/officeDocument/2006/relationships/hyperlink" Target="https://arositdepartment.atlassian.net/wiki/spaces/~ArosMarket/pages/305004559" TargetMode="External" Id="rId14" /><Relationship Type="http://schemas.openxmlformats.org/officeDocument/2006/relationships/hyperlink" Target="https://arositdepartment.atlassian.net/wiki/spaces/~ArosMarket/pages/292421633" TargetMode="External" Id="rId15" /><Relationship Type="http://schemas.openxmlformats.org/officeDocument/2006/relationships/hyperlink" Target="https://arositdepartment.atlassian.net/wiki/spaces/~ArosMarket/pages/246349828" TargetMode="External" Id="rId16" /><Relationship Type="http://schemas.openxmlformats.org/officeDocument/2006/relationships/hyperlink" Target="https://arositdepartment.atlassian.net/wiki/spaces/~ArosMarket/pages/243597313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12" customWidth="1" min="6" max="6"/>
    <col width="11" customWidth="1" min="7" max="7"/>
    <col width="9" customWidth="1" min="8" max="8"/>
    <col width="17" customWidth="1" min="9" max="9"/>
    <col width="13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" t="inlineStr">
        <is>
          <t>Aros — регрессионные тест-кейсы админ-панели</t>
        </is>
      </c>
    </row>
    <row r="2">
      <c r="A2" s="2" t="inlineStr">
        <is>
          <t>Админ-панель, UI. Сверено с PRD в Confluence и staging-admin 28.10.2026. Витрина — отдельный файл.</t>
        </is>
      </c>
    </row>
    <row r="3"/>
    <row r="4">
      <c r="A4" s="3" t="inlineStr">
        <is>
          <t>Окружение</t>
        </is>
      </c>
      <c r="B4" s="4" t="inlineStr">
        <is>
          <t>https://staging-admin.aros.uz</t>
        </is>
      </c>
    </row>
    <row r="5">
      <c r="A5" s="3" t="inlineStr">
        <is>
          <t>Роль</t>
        </is>
      </c>
      <c r="B5" s="4" t="inlineStr">
        <is>
          <t>Администратор (полные права)</t>
        </is>
      </c>
    </row>
    <row r="6">
      <c r="A6" s="3" t="inlineStr">
        <is>
          <t>Тестовый аккаунт</t>
        </is>
      </c>
      <c r="B6" s="4" t="inlineStr">
        <is>
          <t>Логин: +998998987882   Пароль: &lt;пароль в .env&gt; в .env&gt;</t>
        </is>
      </c>
    </row>
    <row r="7">
      <c r="A7" s="3" t="inlineStr">
        <is>
          <t>Документация</t>
        </is>
      </c>
      <c r="B7" s="4" t="inlineStr">
        <is>
          <t>Confluence → папка логики админки; ссылки на листе «Источники»</t>
        </is>
      </c>
    </row>
    <row r="8">
      <c r="A8" s="3" t="inlineStr">
        <is>
          <t>Автотесты</t>
        </is>
      </c>
      <c r="B8" s="4" t="inlineStr">
        <is>
          <t>Репозиторий aros-ui: Java 21 + Playwright + JUnit5 + Allure</t>
        </is>
      </c>
    </row>
    <row r="9">
      <c r="A9" s="3" t="inlineStr">
        <is>
          <t>Релиз / версия</t>
        </is>
      </c>
      <c r="B9" s="5" t="inlineStr"/>
      <c r="C9" s="36" t="n"/>
      <c r="D9" s="36" t="n"/>
      <c r="E9" s="36" t="n"/>
      <c r="F9" s="36" t="n"/>
      <c r="G9" s="36" t="n"/>
      <c r="H9" s="37" t="n"/>
      <c r="J9" s="7" t="inlineStr">
        <is>
          <t>← жёлтые поля заполняются перед каждым прогоном</t>
        </is>
      </c>
    </row>
    <row r="10">
      <c r="A10" s="3" t="inlineStr">
        <is>
          <t>Дата прогона</t>
        </is>
      </c>
      <c r="B10" s="5" t="inlineStr"/>
      <c r="C10" s="36" t="n"/>
      <c r="D10" s="36" t="n"/>
      <c r="E10" s="36" t="n"/>
      <c r="F10" s="36" t="n"/>
      <c r="G10" s="36" t="n"/>
      <c r="H10" s="37" t="n"/>
    </row>
    <row r="11">
      <c r="A11" s="3" t="inlineStr">
        <is>
          <t>Тестировщик</t>
        </is>
      </c>
      <c r="B11" s="5" t="inlineStr"/>
      <c r="C11" s="36" t="n"/>
      <c r="D11" s="36" t="n"/>
      <c r="E11" s="36" t="n"/>
      <c r="F11" s="36" t="n"/>
      <c r="G11" s="36" t="n"/>
      <c r="H11" s="37" t="n"/>
    </row>
    <row r="12">
      <c r="A12" s="8" t="inlineStr">
        <is>
          <t>Покрытие по модулям</t>
        </is>
      </c>
    </row>
    <row r="13" ht="32" customHeight="1">
      <c r="A13" s="9" t="inlineStr">
        <is>
          <t>Модуль</t>
        </is>
      </c>
      <c r="B13" s="9" t="inlineStr">
        <is>
          <t>Всего</t>
        </is>
      </c>
      <c r="C13" s="9" t="inlineStr">
        <is>
          <t>P1</t>
        </is>
      </c>
      <c r="D13" s="9" t="inlineStr">
        <is>
          <t>P2</t>
        </is>
      </c>
      <c r="E13" s="9" t="inlineStr">
        <is>
          <t>P3</t>
        </is>
      </c>
      <c r="F13" s="9" t="inlineStr">
        <is>
          <t>Можно авто: Да</t>
        </is>
      </c>
      <c r="G13" s="9" t="inlineStr">
        <is>
          <t>Частично</t>
        </is>
      </c>
      <c r="H13" s="9" t="inlineStr">
        <is>
          <t>Нет</t>
        </is>
      </c>
      <c r="I13" s="9" t="inlineStr">
        <is>
          <t>Автоматизировано</t>
        </is>
      </c>
      <c r="J13" s="9" t="inlineStr">
        <is>
          <t>% покрытия автотестами</t>
        </is>
      </c>
      <c r="K13" s="9" t="inlineStr">
        <is>
          <t>Passed</t>
        </is>
      </c>
      <c r="L13" s="9" t="inlineStr">
        <is>
          <t>Failed</t>
        </is>
      </c>
      <c r="M13" s="9" t="inlineStr">
        <is>
          <t>Blocked</t>
        </is>
      </c>
      <c r="N13" s="9" t="inlineStr">
        <is>
          <t>Skipped</t>
        </is>
      </c>
      <c r="O13" s="9" t="inlineStr">
        <is>
          <t>Не выполнен</t>
        </is>
      </c>
    </row>
    <row r="14">
      <c r="A14" s="10" t="inlineStr">
        <is>
          <t>AUTH — Авторизация и доступ</t>
        </is>
      </c>
      <c r="B14" s="11">
        <f>COUNTIF('Тест-кейсы'!$B$2:$B$167,"Авторизация и доступ")</f>
        <v/>
      </c>
      <c r="C14" s="11">
        <f>COUNTIFS('Тест-кейсы'!$B$2:$B$167,"Авторизация и доступ",'Тест-кейсы'!$E$2:$E$167,"P1")</f>
        <v/>
      </c>
      <c r="D14" s="11">
        <f>COUNTIFS('Тест-кейсы'!$B$2:$B$167,"Авторизация и доступ",'Тест-кейсы'!$E$2:$E$167,"P2")</f>
        <v/>
      </c>
      <c r="E14" s="11">
        <f>COUNTIFS('Тест-кейсы'!$B$2:$B$167,"Авторизация и доступ",'Тест-кейсы'!$E$2:$E$167,"P3")</f>
        <v/>
      </c>
      <c r="F14" s="11">
        <f>COUNTIFS('Тест-кейсы'!$B$2:$B$167,"Авторизация и доступ",'Тест-кейсы'!$L$2:$L$167,"Да")</f>
        <v/>
      </c>
      <c r="G14" s="11">
        <f>COUNTIFS('Тест-кейсы'!$B$2:$B$167,"Авторизация и доступ",'Тест-кейсы'!$L$2:$L$167,"Частично")</f>
        <v/>
      </c>
      <c r="H14" s="11">
        <f>COUNTIFS('Тест-кейсы'!$B$2:$B$167,"Авторизация и доступ",'Тест-кейсы'!$L$2:$L$167,"Нет")</f>
        <v/>
      </c>
      <c r="I14" s="11">
        <f>COUNTIFS('Тест-кейсы'!$B$2:$B$167,"Авторизация и доступ",'Тест-кейсы'!$N$2:$N$167,"Автоматизирован")</f>
        <v/>
      </c>
      <c r="J14" s="12">
        <f>IF(B14=0,0,I14/B14)</f>
        <v/>
      </c>
      <c r="K14" s="11">
        <f>COUNTIFS('Тест-кейсы'!$B$2:$B$167,"Авторизация и доступ",'Тест-кейсы'!$P$2:$P$167,"Passed")</f>
        <v/>
      </c>
      <c r="L14" s="11">
        <f>COUNTIFS('Тест-кейсы'!$B$2:$B$167,"Авторизация и доступ",'Тест-кейсы'!$P$2:$P$167,"Failed")</f>
        <v/>
      </c>
      <c r="M14" s="11">
        <f>COUNTIFS('Тест-кейсы'!$B$2:$B$167,"Авторизация и доступ",'Тест-кейсы'!$P$2:$P$167,"Blocked")</f>
        <v/>
      </c>
      <c r="N14" s="11">
        <f>COUNTIFS('Тест-кейсы'!$B$2:$B$167,"Авторизация и доступ",'Тест-кейсы'!$P$2:$P$167,"Skipped")</f>
        <v/>
      </c>
      <c r="O14" s="11">
        <f>COUNTIFS('Тест-кейсы'!$B$2:$B$167,"Авторизация и доступ",'Тест-кейсы'!$P$2:$P$167,"Не выполнен")</f>
        <v/>
      </c>
    </row>
    <row r="15">
      <c r="A15" s="13" t="inlineStr">
        <is>
          <t>DASH — Главная (Dashboard)</t>
        </is>
      </c>
      <c r="B15" s="14">
        <f>COUNTIF('Тест-кейсы'!$B$2:$B$167,"Главная (Dashboard)")</f>
        <v/>
      </c>
      <c r="C15" s="14">
        <f>COUNTIFS('Тест-кейсы'!$B$2:$B$167,"Главная (Dashboard)",'Тест-кейсы'!$E$2:$E$167,"P1")</f>
        <v/>
      </c>
      <c r="D15" s="14">
        <f>COUNTIFS('Тест-кейсы'!$B$2:$B$167,"Главная (Dashboard)",'Тест-кейсы'!$E$2:$E$167,"P2")</f>
        <v/>
      </c>
      <c r="E15" s="14">
        <f>COUNTIFS('Тест-кейсы'!$B$2:$B$167,"Главная (Dashboard)",'Тест-кейсы'!$E$2:$E$167,"P3")</f>
        <v/>
      </c>
      <c r="F15" s="14">
        <f>COUNTIFS('Тест-кейсы'!$B$2:$B$167,"Главная (Dashboard)",'Тест-кейсы'!$L$2:$L$167,"Да")</f>
        <v/>
      </c>
      <c r="G15" s="14">
        <f>COUNTIFS('Тест-кейсы'!$B$2:$B$167,"Главная (Dashboard)",'Тест-кейсы'!$L$2:$L$167,"Частично")</f>
        <v/>
      </c>
      <c r="H15" s="14">
        <f>COUNTIFS('Тест-кейсы'!$B$2:$B$167,"Главная (Dashboard)",'Тест-кейсы'!$L$2:$L$167,"Нет")</f>
        <v/>
      </c>
      <c r="I15" s="14">
        <f>COUNTIFS('Тест-кейсы'!$B$2:$B$167,"Главная (Dashboard)",'Тест-кейсы'!$N$2:$N$167,"Автоматизирован")</f>
        <v/>
      </c>
      <c r="J15" s="15">
        <f>IF(B15=0,0,I15/B15)</f>
        <v/>
      </c>
      <c r="K15" s="14">
        <f>COUNTIFS('Тест-кейсы'!$B$2:$B$167,"Главная (Dashboard)",'Тест-кейсы'!$P$2:$P$167,"Passed")</f>
        <v/>
      </c>
      <c r="L15" s="14">
        <f>COUNTIFS('Тест-кейсы'!$B$2:$B$167,"Главная (Dashboard)",'Тест-кейсы'!$P$2:$P$167,"Failed")</f>
        <v/>
      </c>
      <c r="M15" s="14">
        <f>COUNTIFS('Тест-кейсы'!$B$2:$B$167,"Главная (Dashboard)",'Тест-кейсы'!$P$2:$P$167,"Blocked")</f>
        <v/>
      </c>
      <c r="N15" s="14">
        <f>COUNTIFS('Тест-кейсы'!$B$2:$B$167,"Главная (Dashboard)",'Тест-кейсы'!$P$2:$P$167,"Skipped")</f>
        <v/>
      </c>
      <c r="O15" s="14">
        <f>COUNTIFS('Тест-кейсы'!$B$2:$B$167,"Главная (Dashboard)",'Тест-кейсы'!$P$2:$P$167,"Не выполнен")</f>
        <v/>
      </c>
    </row>
    <row r="16">
      <c r="A16" s="10" t="inlineStr">
        <is>
          <t>PINC — Приход товара (Product income)</t>
        </is>
      </c>
      <c r="B16" s="11">
        <f>COUNTIF('Тест-кейсы'!$B$2:$B$167,"Приход товара (Product income)")</f>
        <v/>
      </c>
      <c r="C16" s="11">
        <f>COUNTIFS('Тест-кейсы'!$B$2:$B$167,"Приход товара (Product income)",'Тест-кейсы'!$E$2:$E$167,"P1")</f>
        <v/>
      </c>
      <c r="D16" s="11">
        <f>COUNTIFS('Тест-кейсы'!$B$2:$B$167,"Приход товара (Product income)",'Тест-кейсы'!$E$2:$E$167,"P2")</f>
        <v/>
      </c>
      <c r="E16" s="11">
        <f>COUNTIFS('Тест-кейсы'!$B$2:$B$167,"Приход товара (Product income)",'Тест-кейсы'!$E$2:$E$167,"P3")</f>
        <v/>
      </c>
      <c r="F16" s="11">
        <f>COUNTIFS('Тест-кейсы'!$B$2:$B$167,"Приход товара (Product income)",'Тест-кейсы'!$L$2:$L$167,"Да")</f>
        <v/>
      </c>
      <c r="G16" s="11">
        <f>COUNTIFS('Тест-кейсы'!$B$2:$B$167,"Приход товара (Product income)",'Тест-кейсы'!$L$2:$L$167,"Частично")</f>
        <v/>
      </c>
      <c r="H16" s="11">
        <f>COUNTIFS('Тест-кейсы'!$B$2:$B$167,"Приход товара (Product income)",'Тест-кейсы'!$L$2:$L$167,"Нет")</f>
        <v/>
      </c>
      <c r="I16" s="11">
        <f>COUNTIFS('Тест-кейсы'!$B$2:$B$167,"Приход товара (Product income)",'Тест-кейсы'!$N$2:$N$167,"Автоматизирован")</f>
        <v/>
      </c>
      <c r="J16" s="12">
        <f>IF(B16=0,0,I16/B16)</f>
        <v/>
      </c>
      <c r="K16" s="11">
        <f>COUNTIFS('Тест-кейсы'!$B$2:$B$167,"Приход товара (Product income)",'Тест-кейсы'!$P$2:$P$167,"Passed")</f>
        <v/>
      </c>
      <c r="L16" s="11">
        <f>COUNTIFS('Тест-кейсы'!$B$2:$B$167,"Приход товара (Product income)",'Тест-кейсы'!$P$2:$P$167,"Failed")</f>
        <v/>
      </c>
      <c r="M16" s="11">
        <f>COUNTIFS('Тест-кейсы'!$B$2:$B$167,"Приход товара (Product income)",'Тест-кейсы'!$P$2:$P$167,"Blocked")</f>
        <v/>
      </c>
      <c r="N16" s="11">
        <f>COUNTIFS('Тест-кейсы'!$B$2:$B$167,"Приход товара (Product income)",'Тест-кейсы'!$P$2:$P$167,"Skipped")</f>
        <v/>
      </c>
      <c r="O16" s="11">
        <f>COUNTIFS('Тест-кейсы'!$B$2:$B$167,"Приход товара (Product income)",'Тест-кейсы'!$P$2:$P$167,"Не выполнен")</f>
        <v/>
      </c>
    </row>
    <row r="17">
      <c r="A17" s="13" t="inlineStr">
        <is>
          <t>PRICE — Установка цен (Install prices)</t>
        </is>
      </c>
      <c r="B17" s="14">
        <f>COUNTIF('Тест-кейсы'!$B$2:$B$167,"Установка цен (Install prices)")</f>
        <v/>
      </c>
      <c r="C17" s="14">
        <f>COUNTIFS('Тест-кейсы'!$B$2:$B$167,"Установка цен (Install prices)",'Тест-кейсы'!$E$2:$E$167,"P1")</f>
        <v/>
      </c>
      <c r="D17" s="14">
        <f>COUNTIFS('Тест-кейсы'!$B$2:$B$167,"Установка цен (Install prices)",'Тест-кейсы'!$E$2:$E$167,"P2")</f>
        <v/>
      </c>
      <c r="E17" s="14">
        <f>COUNTIFS('Тест-кейсы'!$B$2:$B$167,"Установка цен (Install prices)",'Тест-кейсы'!$E$2:$E$167,"P3")</f>
        <v/>
      </c>
      <c r="F17" s="14">
        <f>COUNTIFS('Тест-кейсы'!$B$2:$B$167,"Установка цен (Install prices)",'Тест-кейсы'!$L$2:$L$167,"Да")</f>
        <v/>
      </c>
      <c r="G17" s="14">
        <f>COUNTIFS('Тест-кейсы'!$B$2:$B$167,"Установка цен (Install prices)",'Тест-кейсы'!$L$2:$L$167,"Частично")</f>
        <v/>
      </c>
      <c r="H17" s="14">
        <f>COUNTIFS('Тест-кейсы'!$B$2:$B$167,"Установка цен (Install prices)",'Тест-кейсы'!$L$2:$L$167,"Нет")</f>
        <v/>
      </c>
      <c r="I17" s="14">
        <f>COUNTIFS('Тест-кейсы'!$B$2:$B$167,"Установка цен (Install prices)",'Тест-кейсы'!$N$2:$N$167,"Автоматизирован")</f>
        <v/>
      </c>
      <c r="J17" s="15">
        <f>IF(B17=0,0,I17/B17)</f>
        <v/>
      </c>
      <c r="K17" s="14">
        <f>COUNTIFS('Тест-кейсы'!$B$2:$B$167,"Установка цен (Install prices)",'Тест-кейсы'!$P$2:$P$167,"Passed")</f>
        <v/>
      </c>
      <c r="L17" s="14">
        <f>COUNTIFS('Тест-кейсы'!$B$2:$B$167,"Установка цен (Install prices)",'Тест-кейсы'!$P$2:$P$167,"Failed")</f>
        <v/>
      </c>
      <c r="M17" s="14">
        <f>COUNTIFS('Тест-кейсы'!$B$2:$B$167,"Установка цен (Install prices)",'Тест-кейсы'!$P$2:$P$167,"Blocked")</f>
        <v/>
      </c>
      <c r="N17" s="14">
        <f>COUNTIFS('Тест-кейсы'!$B$2:$B$167,"Установка цен (Install prices)",'Тест-кейсы'!$P$2:$P$167,"Skipped")</f>
        <v/>
      </c>
      <c r="O17" s="14">
        <f>COUNTIFS('Тест-кейсы'!$B$2:$B$167,"Установка цен (Install prices)",'Тест-кейсы'!$P$2:$P$167,"Не выполнен")</f>
        <v/>
      </c>
    </row>
    <row r="18">
      <c r="A18" s="10" t="inlineStr">
        <is>
          <t>INV — Инвентаризация</t>
        </is>
      </c>
      <c r="B18" s="11">
        <f>COUNTIF('Тест-кейсы'!$B$2:$B$167,"Инвентаризация")</f>
        <v/>
      </c>
      <c r="C18" s="11">
        <f>COUNTIFS('Тест-кейсы'!$B$2:$B$167,"Инвентаризация",'Тест-кейсы'!$E$2:$E$167,"P1")</f>
        <v/>
      </c>
      <c r="D18" s="11">
        <f>COUNTIFS('Тест-кейсы'!$B$2:$B$167,"Инвентаризация",'Тест-кейсы'!$E$2:$E$167,"P2")</f>
        <v/>
      </c>
      <c r="E18" s="11">
        <f>COUNTIFS('Тест-кейсы'!$B$2:$B$167,"Инвентаризация",'Тест-кейсы'!$E$2:$E$167,"P3")</f>
        <v/>
      </c>
      <c r="F18" s="11">
        <f>COUNTIFS('Тест-кейсы'!$B$2:$B$167,"Инвентаризация",'Тест-кейсы'!$L$2:$L$167,"Да")</f>
        <v/>
      </c>
      <c r="G18" s="11">
        <f>COUNTIFS('Тест-кейсы'!$B$2:$B$167,"Инвентаризация",'Тест-кейсы'!$L$2:$L$167,"Частично")</f>
        <v/>
      </c>
      <c r="H18" s="11">
        <f>COUNTIFS('Тест-кейсы'!$B$2:$B$167,"Инвентаризация",'Тест-кейсы'!$L$2:$L$167,"Нет")</f>
        <v/>
      </c>
      <c r="I18" s="11">
        <f>COUNTIFS('Тест-кейсы'!$B$2:$B$167,"Инвентаризация",'Тест-кейсы'!$N$2:$N$167,"Автоматизирован")</f>
        <v/>
      </c>
      <c r="J18" s="12">
        <f>IF(B18=0,0,I18/B18)</f>
        <v/>
      </c>
      <c r="K18" s="11">
        <f>COUNTIFS('Тест-кейсы'!$B$2:$B$167,"Инвентаризация",'Тест-кейсы'!$P$2:$P$167,"Passed")</f>
        <v/>
      </c>
      <c r="L18" s="11">
        <f>COUNTIFS('Тест-кейсы'!$B$2:$B$167,"Инвентаризация",'Тест-кейсы'!$P$2:$P$167,"Failed")</f>
        <v/>
      </c>
      <c r="M18" s="11">
        <f>COUNTIFS('Тест-кейсы'!$B$2:$B$167,"Инвентаризация",'Тест-кейсы'!$P$2:$P$167,"Blocked")</f>
        <v/>
      </c>
      <c r="N18" s="11">
        <f>COUNTIFS('Тест-кейсы'!$B$2:$B$167,"Инвентаризация",'Тест-кейсы'!$P$2:$P$167,"Skipped")</f>
        <v/>
      </c>
      <c r="O18" s="11">
        <f>COUNTIFS('Тест-кейсы'!$B$2:$B$167,"Инвентаризация",'Тест-кейсы'!$P$2:$P$167,"Не выполнен")</f>
        <v/>
      </c>
    </row>
    <row r="19">
      <c r="A19" s="13" t="inlineStr">
        <is>
          <t>TRF — Перемещение товара (Transfer)</t>
        </is>
      </c>
      <c r="B19" s="14">
        <f>COUNTIF('Тест-кейсы'!$B$2:$B$167,"Перемещение товара (Transfer)")</f>
        <v/>
      </c>
      <c r="C19" s="14">
        <f>COUNTIFS('Тест-кейсы'!$B$2:$B$167,"Перемещение товара (Transfer)",'Тест-кейсы'!$E$2:$E$167,"P1")</f>
        <v/>
      </c>
      <c r="D19" s="14">
        <f>COUNTIFS('Тест-кейсы'!$B$2:$B$167,"Перемещение товара (Transfer)",'Тест-кейсы'!$E$2:$E$167,"P2")</f>
        <v/>
      </c>
      <c r="E19" s="14">
        <f>COUNTIFS('Тест-кейсы'!$B$2:$B$167,"Перемещение товара (Transfer)",'Тест-кейсы'!$E$2:$E$167,"P3")</f>
        <v/>
      </c>
      <c r="F19" s="14">
        <f>COUNTIFS('Тест-кейсы'!$B$2:$B$167,"Перемещение товара (Transfer)",'Тест-кейсы'!$L$2:$L$167,"Да")</f>
        <v/>
      </c>
      <c r="G19" s="14">
        <f>COUNTIFS('Тест-кейсы'!$B$2:$B$167,"Перемещение товара (Transfer)",'Тест-кейсы'!$L$2:$L$167,"Частично")</f>
        <v/>
      </c>
      <c r="H19" s="14">
        <f>COUNTIFS('Тест-кейсы'!$B$2:$B$167,"Перемещение товара (Transfer)",'Тест-кейсы'!$L$2:$L$167,"Нет")</f>
        <v/>
      </c>
      <c r="I19" s="14">
        <f>COUNTIFS('Тест-кейсы'!$B$2:$B$167,"Перемещение товара (Transfer)",'Тест-кейсы'!$N$2:$N$167,"Автоматизирован")</f>
        <v/>
      </c>
      <c r="J19" s="15">
        <f>IF(B19=0,0,I19/B19)</f>
        <v/>
      </c>
      <c r="K19" s="14">
        <f>COUNTIFS('Тест-кейсы'!$B$2:$B$167,"Перемещение товара (Transfer)",'Тест-кейсы'!$P$2:$P$167,"Passed")</f>
        <v/>
      </c>
      <c r="L19" s="14">
        <f>COUNTIFS('Тест-кейсы'!$B$2:$B$167,"Перемещение товара (Transfer)",'Тест-кейсы'!$P$2:$P$167,"Failed")</f>
        <v/>
      </c>
      <c r="M19" s="14">
        <f>COUNTIFS('Тест-кейсы'!$B$2:$B$167,"Перемещение товара (Transfer)",'Тест-кейсы'!$P$2:$P$167,"Blocked")</f>
        <v/>
      </c>
      <c r="N19" s="14">
        <f>COUNTIFS('Тест-кейсы'!$B$2:$B$167,"Перемещение товара (Transfer)",'Тест-кейсы'!$P$2:$P$167,"Skipped")</f>
        <v/>
      </c>
      <c r="O19" s="14">
        <f>COUNTIFS('Тест-кейсы'!$B$2:$B$167,"Перемещение товара (Transfer)",'Тест-кейсы'!$P$2:$P$167,"Не выполнен")</f>
        <v/>
      </c>
    </row>
    <row r="20">
      <c r="A20" s="10" t="inlineStr">
        <is>
          <t>PVAR — Варианты товара (потребность)</t>
        </is>
      </c>
      <c r="B20" s="11">
        <f>COUNTIF('Тест-кейсы'!$B$2:$B$167,"Варианты товара (потребность)")</f>
        <v/>
      </c>
      <c r="C20" s="11">
        <f>COUNTIFS('Тест-кейсы'!$B$2:$B$167,"Варианты товара (потребность)",'Тест-кейсы'!$E$2:$E$167,"P1")</f>
        <v/>
      </c>
      <c r="D20" s="11">
        <f>COUNTIFS('Тест-кейсы'!$B$2:$B$167,"Варианты товара (потребность)",'Тест-кейсы'!$E$2:$E$167,"P2")</f>
        <v/>
      </c>
      <c r="E20" s="11">
        <f>COUNTIFS('Тест-кейсы'!$B$2:$B$167,"Варианты товара (потребность)",'Тест-кейсы'!$E$2:$E$167,"P3")</f>
        <v/>
      </c>
      <c r="F20" s="11">
        <f>COUNTIFS('Тест-кейсы'!$B$2:$B$167,"Варианты товара (потребность)",'Тест-кейсы'!$L$2:$L$167,"Да")</f>
        <v/>
      </c>
      <c r="G20" s="11">
        <f>COUNTIFS('Тест-кейсы'!$B$2:$B$167,"Варианты товара (потребность)",'Тест-кейсы'!$L$2:$L$167,"Частично")</f>
        <v/>
      </c>
      <c r="H20" s="11">
        <f>COUNTIFS('Тест-кейсы'!$B$2:$B$167,"Варианты товара (потребность)",'Тест-кейсы'!$L$2:$L$167,"Нет")</f>
        <v/>
      </c>
      <c r="I20" s="11">
        <f>COUNTIFS('Тест-кейсы'!$B$2:$B$167,"Варианты товара (потребность)",'Тест-кейсы'!$N$2:$N$167,"Автоматизирован")</f>
        <v/>
      </c>
      <c r="J20" s="12">
        <f>IF(B20=0,0,I20/B20)</f>
        <v/>
      </c>
      <c r="K20" s="11">
        <f>COUNTIFS('Тест-кейсы'!$B$2:$B$167,"Варианты товара (потребность)",'Тест-кейсы'!$P$2:$P$167,"Passed")</f>
        <v/>
      </c>
      <c r="L20" s="11">
        <f>COUNTIFS('Тест-кейсы'!$B$2:$B$167,"Варианты товара (потребность)",'Тест-кейсы'!$P$2:$P$167,"Failed")</f>
        <v/>
      </c>
      <c r="M20" s="11">
        <f>COUNTIFS('Тест-кейсы'!$B$2:$B$167,"Варианты товара (потребность)",'Тест-кейсы'!$P$2:$P$167,"Blocked")</f>
        <v/>
      </c>
      <c r="N20" s="11">
        <f>COUNTIFS('Тест-кейсы'!$B$2:$B$167,"Варианты товара (потребность)",'Тест-кейсы'!$P$2:$P$167,"Skipped")</f>
        <v/>
      </c>
      <c r="O20" s="11">
        <f>COUNTIFS('Тест-кейсы'!$B$2:$B$167,"Варианты товара (потребность)",'Тест-кейсы'!$P$2:$P$167,"Не выполнен")</f>
        <v/>
      </c>
    </row>
    <row r="21">
      <c r="A21" s="13" t="inlineStr">
        <is>
          <t>DISC — Скидки и акции</t>
        </is>
      </c>
      <c r="B21" s="14">
        <f>COUNTIF('Тест-кейсы'!$B$2:$B$167,"Скидки и акции")</f>
        <v/>
      </c>
      <c r="C21" s="14">
        <f>COUNTIFS('Тест-кейсы'!$B$2:$B$167,"Скидки и акции",'Тест-кейсы'!$E$2:$E$167,"P1")</f>
        <v/>
      </c>
      <c r="D21" s="14">
        <f>COUNTIFS('Тест-кейсы'!$B$2:$B$167,"Скидки и акции",'Тест-кейсы'!$E$2:$E$167,"P2")</f>
        <v/>
      </c>
      <c r="E21" s="14">
        <f>COUNTIFS('Тест-кейсы'!$B$2:$B$167,"Скидки и акции",'Тест-кейсы'!$E$2:$E$167,"P3")</f>
        <v/>
      </c>
      <c r="F21" s="14">
        <f>COUNTIFS('Тест-кейсы'!$B$2:$B$167,"Скидки и акции",'Тест-кейсы'!$L$2:$L$167,"Да")</f>
        <v/>
      </c>
      <c r="G21" s="14">
        <f>COUNTIFS('Тест-кейсы'!$B$2:$B$167,"Скидки и акции",'Тест-кейсы'!$L$2:$L$167,"Частично")</f>
        <v/>
      </c>
      <c r="H21" s="14">
        <f>COUNTIFS('Тест-кейсы'!$B$2:$B$167,"Скидки и акции",'Тест-кейсы'!$L$2:$L$167,"Нет")</f>
        <v/>
      </c>
      <c r="I21" s="14">
        <f>COUNTIFS('Тест-кейсы'!$B$2:$B$167,"Скидки и акции",'Тест-кейсы'!$N$2:$N$167,"Автоматизирован")</f>
        <v/>
      </c>
      <c r="J21" s="15">
        <f>IF(B21=0,0,I21/B21)</f>
        <v/>
      </c>
      <c r="K21" s="14">
        <f>COUNTIFS('Тест-кейсы'!$B$2:$B$167,"Скидки и акции",'Тест-кейсы'!$P$2:$P$167,"Passed")</f>
        <v/>
      </c>
      <c r="L21" s="14">
        <f>COUNTIFS('Тест-кейсы'!$B$2:$B$167,"Скидки и акции",'Тест-кейсы'!$P$2:$P$167,"Failed")</f>
        <v/>
      </c>
      <c r="M21" s="14">
        <f>COUNTIFS('Тест-кейсы'!$B$2:$B$167,"Скидки и акции",'Тест-кейсы'!$P$2:$P$167,"Blocked")</f>
        <v/>
      </c>
      <c r="N21" s="14">
        <f>COUNTIFS('Тест-кейсы'!$B$2:$B$167,"Скидки и акции",'Тест-кейсы'!$P$2:$P$167,"Skipped")</f>
        <v/>
      </c>
      <c r="O21" s="14">
        <f>COUNTIFS('Тест-кейсы'!$B$2:$B$167,"Скидки и акции",'Тест-кейсы'!$P$2:$P$167,"Не выполнен")</f>
        <v/>
      </c>
    </row>
    <row r="22">
      <c r="A22" s="10" t="inlineStr">
        <is>
          <t>PROD — Товары и варианты</t>
        </is>
      </c>
      <c r="B22" s="11">
        <f>COUNTIF('Тест-кейсы'!$B$2:$B$167,"Товары и варианты")</f>
        <v/>
      </c>
      <c r="C22" s="11">
        <f>COUNTIFS('Тест-кейсы'!$B$2:$B$167,"Товары и варианты",'Тест-кейсы'!$E$2:$E$167,"P1")</f>
        <v/>
      </c>
      <c r="D22" s="11">
        <f>COUNTIFS('Тест-кейсы'!$B$2:$B$167,"Товары и варианты",'Тест-кейсы'!$E$2:$E$167,"P2")</f>
        <v/>
      </c>
      <c r="E22" s="11">
        <f>COUNTIFS('Тест-кейсы'!$B$2:$B$167,"Товары и варианты",'Тест-кейсы'!$E$2:$E$167,"P3")</f>
        <v/>
      </c>
      <c r="F22" s="11">
        <f>COUNTIFS('Тест-кейсы'!$B$2:$B$167,"Товары и варианты",'Тест-кейсы'!$L$2:$L$167,"Да")</f>
        <v/>
      </c>
      <c r="G22" s="11">
        <f>COUNTIFS('Тест-кейсы'!$B$2:$B$167,"Товары и варианты",'Тест-кейсы'!$L$2:$L$167,"Частично")</f>
        <v/>
      </c>
      <c r="H22" s="11">
        <f>COUNTIFS('Тест-кейсы'!$B$2:$B$167,"Товары и варианты",'Тест-кейсы'!$L$2:$L$167,"Нет")</f>
        <v/>
      </c>
      <c r="I22" s="11">
        <f>COUNTIFS('Тест-кейсы'!$B$2:$B$167,"Товары и варианты",'Тест-кейсы'!$N$2:$N$167,"Автоматизирован")</f>
        <v/>
      </c>
      <c r="J22" s="12">
        <f>IF(B22=0,0,I22/B22)</f>
        <v/>
      </c>
      <c r="K22" s="11">
        <f>COUNTIFS('Тест-кейсы'!$B$2:$B$167,"Товары и варианты",'Тест-кейсы'!$P$2:$P$167,"Passed")</f>
        <v/>
      </c>
      <c r="L22" s="11">
        <f>COUNTIFS('Тест-кейсы'!$B$2:$B$167,"Товары и варианты",'Тест-кейсы'!$P$2:$P$167,"Failed")</f>
        <v/>
      </c>
      <c r="M22" s="11">
        <f>COUNTIFS('Тест-кейсы'!$B$2:$B$167,"Товары и варианты",'Тест-кейсы'!$P$2:$P$167,"Blocked")</f>
        <v/>
      </c>
      <c r="N22" s="11">
        <f>COUNTIFS('Тест-кейсы'!$B$2:$B$167,"Товары и варианты",'Тест-кейсы'!$P$2:$P$167,"Skipped")</f>
        <v/>
      </c>
      <c r="O22" s="11">
        <f>COUNTIFS('Тест-кейсы'!$B$2:$B$167,"Товары и варианты",'Тест-кейсы'!$P$2:$P$167,"Не выполнен")</f>
        <v/>
      </c>
    </row>
    <row r="23">
      <c r="A23" s="13" t="inlineStr">
        <is>
          <t>DIR — Справочники</t>
        </is>
      </c>
      <c r="B23" s="14">
        <f>COUNTIF('Тест-кейсы'!$B$2:$B$167,"Справочники")</f>
        <v/>
      </c>
      <c r="C23" s="14">
        <f>COUNTIFS('Тест-кейсы'!$B$2:$B$167,"Справочники",'Тест-кейсы'!$E$2:$E$167,"P1")</f>
        <v/>
      </c>
      <c r="D23" s="14">
        <f>COUNTIFS('Тест-кейсы'!$B$2:$B$167,"Справочники",'Тест-кейсы'!$E$2:$E$167,"P2")</f>
        <v/>
      </c>
      <c r="E23" s="14">
        <f>COUNTIFS('Тест-кейсы'!$B$2:$B$167,"Справочники",'Тест-кейсы'!$E$2:$E$167,"P3")</f>
        <v/>
      </c>
      <c r="F23" s="14">
        <f>COUNTIFS('Тест-кейсы'!$B$2:$B$167,"Справочники",'Тест-кейсы'!$L$2:$L$167,"Да")</f>
        <v/>
      </c>
      <c r="G23" s="14">
        <f>COUNTIFS('Тест-кейсы'!$B$2:$B$167,"Справочники",'Тест-кейсы'!$L$2:$L$167,"Частично")</f>
        <v/>
      </c>
      <c r="H23" s="14">
        <f>COUNTIFS('Тест-кейсы'!$B$2:$B$167,"Справочники",'Тест-кейсы'!$L$2:$L$167,"Нет")</f>
        <v/>
      </c>
      <c r="I23" s="14">
        <f>COUNTIFS('Тест-кейсы'!$B$2:$B$167,"Справочники",'Тест-кейсы'!$N$2:$N$167,"Автоматизирован")</f>
        <v/>
      </c>
      <c r="J23" s="15">
        <f>IF(B23=0,0,I23/B23)</f>
        <v/>
      </c>
      <c r="K23" s="14">
        <f>COUNTIFS('Тест-кейсы'!$B$2:$B$167,"Справочники",'Тест-кейсы'!$P$2:$P$167,"Passed")</f>
        <v/>
      </c>
      <c r="L23" s="14">
        <f>COUNTIFS('Тест-кейсы'!$B$2:$B$167,"Справочники",'Тест-кейсы'!$P$2:$P$167,"Failed")</f>
        <v/>
      </c>
      <c r="M23" s="14">
        <f>COUNTIFS('Тест-кейсы'!$B$2:$B$167,"Справочники",'Тест-кейсы'!$P$2:$P$167,"Blocked")</f>
        <v/>
      </c>
      <c r="N23" s="14">
        <f>COUNTIFS('Тест-кейсы'!$B$2:$B$167,"Справочники",'Тест-кейсы'!$P$2:$P$167,"Skipped")</f>
        <v/>
      </c>
      <c r="O23" s="14">
        <f>COUNTIFS('Тест-кейсы'!$B$2:$B$167,"Справочники",'Тест-кейсы'!$P$2:$P$167,"Не выполнен")</f>
        <v/>
      </c>
    </row>
    <row r="24">
      <c r="A24" s="10" t="inlineStr">
        <is>
          <t>ORD — Заказы</t>
        </is>
      </c>
      <c r="B24" s="11">
        <f>COUNTIF('Тест-кейсы'!$B$2:$B$167,"Заказы")</f>
        <v/>
      </c>
      <c r="C24" s="11">
        <f>COUNTIFS('Тест-кейсы'!$B$2:$B$167,"Заказы",'Тест-кейсы'!$E$2:$E$167,"P1")</f>
        <v/>
      </c>
      <c r="D24" s="11">
        <f>COUNTIFS('Тест-кейсы'!$B$2:$B$167,"Заказы",'Тест-кейсы'!$E$2:$E$167,"P2")</f>
        <v/>
      </c>
      <c r="E24" s="11">
        <f>COUNTIFS('Тест-кейсы'!$B$2:$B$167,"Заказы",'Тест-кейсы'!$E$2:$E$167,"P3")</f>
        <v/>
      </c>
      <c r="F24" s="11">
        <f>COUNTIFS('Тест-кейсы'!$B$2:$B$167,"Заказы",'Тест-кейсы'!$L$2:$L$167,"Да")</f>
        <v/>
      </c>
      <c r="G24" s="11">
        <f>COUNTIFS('Тест-кейсы'!$B$2:$B$167,"Заказы",'Тест-кейсы'!$L$2:$L$167,"Частично")</f>
        <v/>
      </c>
      <c r="H24" s="11">
        <f>COUNTIFS('Тест-кейсы'!$B$2:$B$167,"Заказы",'Тест-кейсы'!$L$2:$L$167,"Нет")</f>
        <v/>
      </c>
      <c r="I24" s="11">
        <f>COUNTIFS('Тест-кейсы'!$B$2:$B$167,"Заказы",'Тест-кейсы'!$N$2:$N$167,"Автоматизирован")</f>
        <v/>
      </c>
      <c r="J24" s="12">
        <f>IF(B24=0,0,I24/B24)</f>
        <v/>
      </c>
      <c r="K24" s="11">
        <f>COUNTIFS('Тест-кейсы'!$B$2:$B$167,"Заказы",'Тест-кейсы'!$P$2:$P$167,"Passed")</f>
        <v/>
      </c>
      <c r="L24" s="11">
        <f>COUNTIFS('Тест-кейсы'!$B$2:$B$167,"Заказы",'Тест-кейсы'!$P$2:$P$167,"Failed")</f>
        <v/>
      </c>
      <c r="M24" s="11">
        <f>COUNTIFS('Тест-кейсы'!$B$2:$B$167,"Заказы",'Тест-кейсы'!$P$2:$P$167,"Blocked")</f>
        <v/>
      </c>
      <c r="N24" s="11">
        <f>COUNTIFS('Тест-кейсы'!$B$2:$B$167,"Заказы",'Тест-кейсы'!$P$2:$P$167,"Skipped")</f>
        <v/>
      </c>
      <c r="O24" s="11">
        <f>COUNTIFS('Тест-кейсы'!$B$2:$B$167,"Заказы",'Тест-кейсы'!$P$2:$P$167,"Не выполнен")</f>
        <v/>
      </c>
    </row>
    <row r="25">
      <c r="A25" s="13" t="inlineStr">
        <is>
          <t>SW — Окно продаж (Sales window)</t>
        </is>
      </c>
      <c r="B25" s="14">
        <f>COUNTIF('Тест-кейсы'!$B$2:$B$167,"Окно продаж (Sales window)")</f>
        <v/>
      </c>
      <c r="C25" s="14">
        <f>COUNTIFS('Тест-кейсы'!$B$2:$B$167,"Окно продаж (Sales window)",'Тест-кейсы'!$E$2:$E$167,"P1")</f>
        <v/>
      </c>
      <c r="D25" s="14">
        <f>COUNTIFS('Тест-кейсы'!$B$2:$B$167,"Окно продаж (Sales window)",'Тест-кейсы'!$E$2:$E$167,"P2")</f>
        <v/>
      </c>
      <c r="E25" s="14">
        <f>COUNTIFS('Тест-кейсы'!$B$2:$B$167,"Окно продаж (Sales window)",'Тест-кейсы'!$E$2:$E$167,"P3")</f>
        <v/>
      </c>
      <c r="F25" s="14">
        <f>COUNTIFS('Тест-кейсы'!$B$2:$B$167,"Окно продаж (Sales window)",'Тест-кейсы'!$L$2:$L$167,"Да")</f>
        <v/>
      </c>
      <c r="G25" s="14">
        <f>COUNTIFS('Тест-кейсы'!$B$2:$B$167,"Окно продаж (Sales window)",'Тест-кейсы'!$L$2:$L$167,"Частично")</f>
        <v/>
      </c>
      <c r="H25" s="14">
        <f>COUNTIFS('Тест-кейсы'!$B$2:$B$167,"Окно продаж (Sales window)",'Тест-кейсы'!$L$2:$L$167,"Нет")</f>
        <v/>
      </c>
      <c r="I25" s="14">
        <f>COUNTIFS('Тест-кейсы'!$B$2:$B$167,"Окно продаж (Sales window)",'Тест-кейсы'!$N$2:$N$167,"Автоматизирован")</f>
        <v/>
      </c>
      <c r="J25" s="15">
        <f>IF(B25=0,0,I25/B25)</f>
        <v/>
      </c>
      <c r="K25" s="14">
        <f>COUNTIFS('Тест-кейсы'!$B$2:$B$167,"Окно продаж (Sales window)",'Тест-кейсы'!$P$2:$P$167,"Passed")</f>
        <v/>
      </c>
      <c r="L25" s="14">
        <f>COUNTIFS('Тест-кейсы'!$B$2:$B$167,"Окно продаж (Sales window)",'Тест-кейсы'!$P$2:$P$167,"Failed")</f>
        <v/>
      </c>
      <c r="M25" s="14">
        <f>COUNTIFS('Тест-кейсы'!$B$2:$B$167,"Окно продаж (Sales window)",'Тест-кейсы'!$P$2:$P$167,"Blocked")</f>
        <v/>
      </c>
      <c r="N25" s="14">
        <f>COUNTIFS('Тест-кейсы'!$B$2:$B$167,"Окно продаж (Sales window)",'Тест-кейсы'!$P$2:$P$167,"Skipped")</f>
        <v/>
      </c>
      <c r="O25" s="14">
        <f>COUNTIFS('Тест-кейсы'!$B$2:$B$167,"Окно продаж (Sales window)",'Тест-кейсы'!$P$2:$P$167,"Не выполнен")</f>
        <v/>
      </c>
    </row>
    <row r="26">
      <c r="A26" s="10" t="inlineStr">
        <is>
          <t>RET — Возврат товара</t>
        </is>
      </c>
      <c r="B26" s="11">
        <f>COUNTIF('Тест-кейсы'!$B$2:$B$167,"Возврат товара")</f>
        <v/>
      </c>
      <c r="C26" s="11">
        <f>COUNTIFS('Тест-кейсы'!$B$2:$B$167,"Возврат товара",'Тест-кейсы'!$E$2:$E$167,"P1")</f>
        <v/>
      </c>
      <c r="D26" s="11">
        <f>COUNTIFS('Тест-кейсы'!$B$2:$B$167,"Возврат товара",'Тест-кейсы'!$E$2:$E$167,"P2")</f>
        <v/>
      </c>
      <c r="E26" s="11">
        <f>COUNTIFS('Тест-кейсы'!$B$2:$B$167,"Возврат товара",'Тест-кейсы'!$E$2:$E$167,"P3")</f>
        <v/>
      </c>
      <c r="F26" s="11">
        <f>COUNTIFS('Тест-кейсы'!$B$2:$B$167,"Возврат товара",'Тест-кейсы'!$L$2:$L$167,"Да")</f>
        <v/>
      </c>
      <c r="G26" s="11">
        <f>COUNTIFS('Тест-кейсы'!$B$2:$B$167,"Возврат товара",'Тест-кейсы'!$L$2:$L$167,"Частично")</f>
        <v/>
      </c>
      <c r="H26" s="11">
        <f>COUNTIFS('Тест-кейсы'!$B$2:$B$167,"Возврат товара",'Тест-кейсы'!$L$2:$L$167,"Нет")</f>
        <v/>
      </c>
      <c r="I26" s="11">
        <f>COUNTIFS('Тест-кейсы'!$B$2:$B$167,"Возврат товара",'Тест-кейсы'!$N$2:$N$167,"Автоматизирован")</f>
        <v/>
      </c>
      <c r="J26" s="12">
        <f>IF(B26=0,0,I26/B26)</f>
        <v/>
      </c>
      <c r="K26" s="11">
        <f>COUNTIFS('Тест-кейсы'!$B$2:$B$167,"Возврат товара",'Тест-кейсы'!$P$2:$P$167,"Passed")</f>
        <v/>
      </c>
      <c r="L26" s="11">
        <f>COUNTIFS('Тест-кейсы'!$B$2:$B$167,"Возврат товара",'Тест-кейсы'!$P$2:$P$167,"Failed")</f>
        <v/>
      </c>
      <c r="M26" s="11">
        <f>COUNTIFS('Тест-кейсы'!$B$2:$B$167,"Возврат товара",'Тест-кейсы'!$P$2:$P$167,"Blocked")</f>
        <v/>
      </c>
      <c r="N26" s="11">
        <f>COUNTIFS('Тест-кейсы'!$B$2:$B$167,"Возврат товара",'Тест-кейсы'!$P$2:$P$167,"Skipped")</f>
        <v/>
      </c>
      <c r="O26" s="11">
        <f>COUNTIFS('Тест-кейсы'!$B$2:$B$167,"Возврат товара",'Тест-кейсы'!$P$2:$P$167,"Не выполнен")</f>
        <v/>
      </c>
    </row>
    <row r="27">
      <c r="A27" s="13" t="inlineStr">
        <is>
          <t>BIL — Касса и финансы (Billing)</t>
        </is>
      </c>
      <c r="B27" s="14">
        <f>COUNTIF('Тест-кейсы'!$B$2:$B$167,"Касса и финансы (Billing)")</f>
        <v/>
      </c>
      <c r="C27" s="14">
        <f>COUNTIFS('Тест-кейсы'!$B$2:$B$167,"Касса и финансы (Billing)",'Тест-кейсы'!$E$2:$E$167,"P1")</f>
        <v/>
      </c>
      <c r="D27" s="14">
        <f>COUNTIFS('Тест-кейсы'!$B$2:$B$167,"Касса и финансы (Billing)",'Тест-кейсы'!$E$2:$E$167,"P2")</f>
        <v/>
      </c>
      <c r="E27" s="14">
        <f>COUNTIFS('Тест-кейсы'!$B$2:$B$167,"Касса и финансы (Billing)",'Тест-кейсы'!$E$2:$E$167,"P3")</f>
        <v/>
      </c>
      <c r="F27" s="14">
        <f>COUNTIFS('Тест-кейсы'!$B$2:$B$167,"Касса и финансы (Billing)",'Тест-кейсы'!$L$2:$L$167,"Да")</f>
        <v/>
      </c>
      <c r="G27" s="14">
        <f>COUNTIFS('Тест-кейсы'!$B$2:$B$167,"Касса и финансы (Billing)",'Тест-кейсы'!$L$2:$L$167,"Частично")</f>
        <v/>
      </c>
      <c r="H27" s="14">
        <f>COUNTIFS('Тест-кейсы'!$B$2:$B$167,"Касса и финансы (Billing)",'Тест-кейсы'!$L$2:$L$167,"Нет")</f>
        <v/>
      </c>
      <c r="I27" s="14">
        <f>COUNTIFS('Тест-кейсы'!$B$2:$B$167,"Касса и финансы (Billing)",'Тест-кейсы'!$N$2:$N$167,"Автоматизирован")</f>
        <v/>
      </c>
      <c r="J27" s="15">
        <f>IF(B27=0,0,I27/B27)</f>
        <v/>
      </c>
      <c r="K27" s="14">
        <f>COUNTIFS('Тест-кейсы'!$B$2:$B$167,"Касса и финансы (Billing)",'Тест-кейсы'!$P$2:$P$167,"Passed")</f>
        <v/>
      </c>
      <c r="L27" s="14">
        <f>COUNTIFS('Тест-кейсы'!$B$2:$B$167,"Касса и финансы (Billing)",'Тест-кейсы'!$P$2:$P$167,"Failed")</f>
        <v/>
      </c>
      <c r="M27" s="14">
        <f>COUNTIFS('Тест-кейсы'!$B$2:$B$167,"Касса и финансы (Billing)",'Тест-кейсы'!$P$2:$P$167,"Blocked")</f>
        <v/>
      </c>
      <c r="N27" s="14">
        <f>COUNTIFS('Тест-кейсы'!$B$2:$B$167,"Касса и финансы (Billing)",'Тест-кейсы'!$P$2:$P$167,"Skipped")</f>
        <v/>
      </c>
      <c r="O27" s="14">
        <f>COUNTIFS('Тест-кейсы'!$B$2:$B$167,"Касса и финансы (Billing)",'Тест-кейсы'!$P$2:$P$167,"Не выполнен")</f>
        <v/>
      </c>
    </row>
    <row r="28">
      <c r="A28" s="10" t="inlineStr">
        <is>
          <t>USR — Пользователи и роли клиентов</t>
        </is>
      </c>
      <c r="B28" s="11">
        <f>COUNTIF('Тест-кейсы'!$B$2:$B$167,"Пользователи и роли клиентов")</f>
        <v/>
      </c>
      <c r="C28" s="11">
        <f>COUNTIFS('Тест-кейсы'!$B$2:$B$167,"Пользователи и роли клиентов",'Тест-кейсы'!$E$2:$E$167,"P1")</f>
        <v/>
      </c>
      <c r="D28" s="11">
        <f>COUNTIFS('Тест-кейсы'!$B$2:$B$167,"Пользователи и роли клиентов",'Тест-кейсы'!$E$2:$E$167,"P2")</f>
        <v/>
      </c>
      <c r="E28" s="11">
        <f>COUNTIFS('Тест-кейсы'!$B$2:$B$167,"Пользователи и роли клиентов",'Тест-кейсы'!$E$2:$E$167,"P3")</f>
        <v/>
      </c>
      <c r="F28" s="11">
        <f>COUNTIFS('Тест-кейсы'!$B$2:$B$167,"Пользователи и роли клиентов",'Тест-кейсы'!$L$2:$L$167,"Да")</f>
        <v/>
      </c>
      <c r="G28" s="11">
        <f>COUNTIFS('Тест-кейсы'!$B$2:$B$167,"Пользователи и роли клиентов",'Тест-кейсы'!$L$2:$L$167,"Частично")</f>
        <v/>
      </c>
      <c r="H28" s="11">
        <f>COUNTIFS('Тест-кейсы'!$B$2:$B$167,"Пользователи и роли клиентов",'Тест-кейсы'!$L$2:$L$167,"Нет")</f>
        <v/>
      </c>
      <c r="I28" s="11">
        <f>COUNTIFS('Тест-кейсы'!$B$2:$B$167,"Пользователи и роли клиентов",'Тест-кейсы'!$N$2:$N$167,"Автоматизирован")</f>
        <v/>
      </c>
      <c r="J28" s="12">
        <f>IF(B28=0,0,I28/B28)</f>
        <v/>
      </c>
      <c r="K28" s="11">
        <f>COUNTIFS('Тест-кейсы'!$B$2:$B$167,"Пользователи и роли клиентов",'Тест-кейсы'!$P$2:$P$167,"Passed")</f>
        <v/>
      </c>
      <c r="L28" s="11">
        <f>COUNTIFS('Тест-кейсы'!$B$2:$B$167,"Пользователи и роли клиентов",'Тест-кейсы'!$P$2:$P$167,"Failed")</f>
        <v/>
      </c>
      <c r="M28" s="11">
        <f>COUNTIFS('Тест-кейсы'!$B$2:$B$167,"Пользователи и роли клиентов",'Тест-кейсы'!$P$2:$P$167,"Blocked")</f>
        <v/>
      </c>
      <c r="N28" s="11">
        <f>COUNTIFS('Тест-кейсы'!$B$2:$B$167,"Пользователи и роли клиентов",'Тест-кейсы'!$P$2:$P$167,"Skipped")</f>
        <v/>
      </c>
      <c r="O28" s="11">
        <f>COUNTIFS('Тест-кейсы'!$B$2:$B$167,"Пользователи и роли клиентов",'Тест-кейсы'!$P$2:$P$167,"Не выполнен")</f>
        <v/>
      </c>
    </row>
    <row r="29">
      <c r="A29" s="13" t="inlineStr">
        <is>
          <t>REQ — Запросы клиентов</t>
        </is>
      </c>
      <c r="B29" s="14">
        <f>COUNTIF('Тест-кейсы'!$B$2:$B$167,"Запросы клиентов")</f>
        <v/>
      </c>
      <c r="C29" s="14">
        <f>COUNTIFS('Тест-кейсы'!$B$2:$B$167,"Запросы клиентов",'Тест-кейсы'!$E$2:$E$167,"P1")</f>
        <v/>
      </c>
      <c r="D29" s="14">
        <f>COUNTIFS('Тест-кейсы'!$B$2:$B$167,"Запросы клиентов",'Тест-кейсы'!$E$2:$E$167,"P2")</f>
        <v/>
      </c>
      <c r="E29" s="14">
        <f>COUNTIFS('Тест-кейсы'!$B$2:$B$167,"Запросы клиентов",'Тест-кейсы'!$E$2:$E$167,"P3")</f>
        <v/>
      </c>
      <c r="F29" s="14">
        <f>COUNTIFS('Тест-кейсы'!$B$2:$B$167,"Запросы клиентов",'Тест-кейсы'!$L$2:$L$167,"Да")</f>
        <v/>
      </c>
      <c r="G29" s="14">
        <f>COUNTIFS('Тест-кейсы'!$B$2:$B$167,"Запросы клиентов",'Тест-кейсы'!$L$2:$L$167,"Частично")</f>
        <v/>
      </c>
      <c r="H29" s="14">
        <f>COUNTIFS('Тест-кейсы'!$B$2:$B$167,"Запросы клиентов",'Тест-кейсы'!$L$2:$L$167,"Нет")</f>
        <v/>
      </c>
      <c r="I29" s="14">
        <f>COUNTIFS('Тест-кейсы'!$B$2:$B$167,"Запросы клиентов",'Тест-кейсы'!$N$2:$N$167,"Автоматизирован")</f>
        <v/>
      </c>
      <c r="J29" s="15">
        <f>IF(B29=0,0,I29/B29)</f>
        <v/>
      </c>
      <c r="K29" s="14">
        <f>COUNTIFS('Тест-кейсы'!$B$2:$B$167,"Запросы клиентов",'Тест-кейсы'!$P$2:$P$167,"Passed")</f>
        <v/>
      </c>
      <c r="L29" s="14">
        <f>COUNTIFS('Тест-кейсы'!$B$2:$B$167,"Запросы клиентов",'Тест-кейсы'!$P$2:$P$167,"Failed")</f>
        <v/>
      </c>
      <c r="M29" s="14">
        <f>COUNTIFS('Тест-кейсы'!$B$2:$B$167,"Запросы клиентов",'Тест-кейсы'!$P$2:$P$167,"Blocked")</f>
        <v/>
      </c>
      <c r="N29" s="14">
        <f>COUNTIFS('Тест-кейсы'!$B$2:$B$167,"Запросы клиентов",'Тест-кейсы'!$P$2:$P$167,"Skipped")</f>
        <v/>
      </c>
      <c r="O29" s="14">
        <f>COUNTIFS('Тест-кейсы'!$B$2:$B$167,"Запросы клиентов",'Тест-кейсы'!$P$2:$P$167,"Не выполнен")</f>
        <v/>
      </c>
    </row>
    <row r="30">
      <c r="A30" s="10" t="inlineStr">
        <is>
          <t>WH — Склады</t>
        </is>
      </c>
      <c r="B30" s="11">
        <f>COUNTIF('Тест-кейсы'!$B$2:$B$167,"Склады")</f>
        <v/>
      </c>
      <c r="C30" s="11">
        <f>COUNTIFS('Тест-кейсы'!$B$2:$B$167,"Склады",'Тест-кейсы'!$E$2:$E$167,"P1")</f>
        <v/>
      </c>
      <c r="D30" s="11">
        <f>COUNTIFS('Тест-кейсы'!$B$2:$B$167,"Склады",'Тест-кейсы'!$E$2:$E$167,"P2")</f>
        <v/>
      </c>
      <c r="E30" s="11">
        <f>COUNTIFS('Тест-кейсы'!$B$2:$B$167,"Склады",'Тест-кейсы'!$E$2:$E$167,"P3")</f>
        <v/>
      </c>
      <c r="F30" s="11">
        <f>COUNTIFS('Тест-кейсы'!$B$2:$B$167,"Склады",'Тест-кейсы'!$L$2:$L$167,"Да")</f>
        <v/>
      </c>
      <c r="G30" s="11">
        <f>COUNTIFS('Тест-кейсы'!$B$2:$B$167,"Склады",'Тест-кейсы'!$L$2:$L$167,"Частично")</f>
        <v/>
      </c>
      <c r="H30" s="11">
        <f>COUNTIFS('Тест-кейсы'!$B$2:$B$167,"Склады",'Тест-кейсы'!$L$2:$L$167,"Нет")</f>
        <v/>
      </c>
      <c r="I30" s="11">
        <f>COUNTIFS('Тест-кейсы'!$B$2:$B$167,"Склады",'Тест-кейсы'!$N$2:$N$167,"Автоматизирован")</f>
        <v/>
      </c>
      <c r="J30" s="12">
        <f>IF(B30=0,0,I30/B30)</f>
        <v/>
      </c>
      <c r="K30" s="11">
        <f>COUNTIFS('Тест-кейсы'!$B$2:$B$167,"Склады",'Тест-кейсы'!$P$2:$P$167,"Passed")</f>
        <v/>
      </c>
      <c r="L30" s="11">
        <f>COUNTIFS('Тест-кейсы'!$B$2:$B$167,"Склады",'Тест-кейсы'!$P$2:$P$167,"Failed")</f>
        <v/>
      </c>
      <c r="M30" s="11">
        <f>COUNTIFS('Тест-кейсы'!$B$2:$B$167,"Склады",'Тест-кейсы'!$P$2:$P$167,"Blocked")</f>
        <v/>
      </c>
      <c r="N30" s="11">
        <f>COUNTIFS('Тест-кейсы'!$B$2:$B$167,"Склады",'Тест-кейсы'!$P$2:$P$167,"Skipped")</f>
        <v/>
      </c>
      <c r="O30" s="11">
        <f>COUNTIFS('Тест-кейсы'!$B$2:$B$167,"Склады",'Тест-кейсы'!$P$2:$P$167,"Не выполнен")</f>
        <v/>
      </c>
    </row>
    <row r="31">
      <c r="A31" s="13" t="inlineStr">
        <is>
          <t>CUR — Валюта</t>
        </is>
      </c>
      <c r="B31" s="14">
        <f>COUNTIF('Тест-кейсы'!$B$2:$B$167,"Валюта")</f>
        <v/>
      </c>
      <c r="C31" s="14">
        <f>COUNTIFS('Тест-кейсы'!$B$2:$B$167,"Валюта",'Тест-кейсы'!$E$2:$E$167,"P1")</f>
        <v/>
      </c>
      <c r="D31" s="14">
        <f>COUNTIFS('Тест-кейсы'!$B$2:$B$167,"Валюта",'Тест-кейсы'!$E$2:$E$167,"P2")</f>
        <v/>
      </c>
      <c r="E31" s="14">
        <f>COUNTIFS('Тест-кейсы'!$B$2:$B$167,"Валюта",'Тест-кейсы'!$E$2:$E$167,"P3")</f>
        <v/>
      </c>
      <c r="F31" s="14">
        <f>COUNTIFS('Тест-кейсы'!$B$2:$B$167,"Валюта",'Тест-кейсы'!$L$2:$L$167,"Да")</f>
        <v/>
      </c>
      <c r="G31" s="14">
        <f>COUNTIFS('Тест-кейсы'!$B$2:$B$167,"Валюта",'Тест-кейсы'!$L$2:$L$167,"Частично")</f>
        <v/>
      </c>
      <c r="H31" s="14">
        <f>COUNTIFS('Тест-кейсы'!$B$2:$B$167,"Валюта",'Тест-кейсы'!$L$2:$L$167,"Нет")</f>
        <v/>
      </c>
      <c r="I31" s="14">
        <f>COUNTIFS('Тест-кейсы'!$B$2:$B$167,"Валюта",'Тест-кейсы'!$N$2:$N$167,"Автоматизирован")</f>
        <v/>
      </c>
      <c r="J31" s="15">
        <f>IF(B31=0,0,I31/B31)</f>
        <v/>
      </c>
      <c r="K31" s="14">
        <f>COUNTIFS('Тест-кейсы'!$B$2:$B$167,"Валюта",'Тест-кейсы'!$P$2:$P$167,"Passed")</f>
        <v/>
      </c>
      <c r="L31" s="14">
        <f>COUNTIFS('Тест-кейсы'!$B$2:$B$167,"Валюта",'Тест-кейсы'!$P$2:$P$167,"Failed")</f>
        <v/>
      </c>
      <c r="M31" s="14">
        <f>COUNTIFS('Тест-кейсы'!$B$2:$B$167,"Валюта",'Тест-кейсы'!$P$2:$P$167,"Blocked")</f>
        <v/>
      </c>
      <c r="N31" s="14">
        <f>COUNTIFS('Тест-кейсы'!$B$2:$B$167,"Валюта",'Тест-кейсы'!$P$2:$P$167,"Skipped")</f>
        <v/>
      </c>
      <c r="O31" s="14">
        <f>COUNTIFS('Тест-кейсы'!$B$2:$B$167,"Валюта",'Тест-кейсы'!$P$2:$P$167,"Не выполнен")</f>
        <v/>
      </c>
    </row>
    <row r="32">
      <c r="A32" s="10" t="inlineStr">
        <is>
          <t>BAN — Баннеры</t>
        </is>
      </c>
      <c r="B32" s="11">
        <f>COUNTIF('Тест-кейсы'!$B$2:$B$167,"Баннеры")</f>
        <v/>
      </c>
      <c r="C32" s="11">
        <f>COUNTIFS('Тест-кейсы'!$B$2:$B$167,"Баннеры",'Тест-кейсы'!$E$2:$E$167,"P1")</f>
        <v/>
      </c>
      <c r="D32" s="11">
        <f>COUNTIFS('Тест-кейсы'!$B$2:$B$167,"Баннеры",'Тест-кейсы'!$E$2:$E$167,"P2")</f>
        <v/>
      </c>
      <c r="E32" s="11">
        <f>COUNTIFS('Тест-кейсы'!$B$2:$B$167,"Баннеры",'Тест-кейсы'!$E$2:$E$167,"P3")</f>
        <v/>
      </c>
      <c r="F32" s="11">
        <f>COUNTIFS('Тест-кейсы'!$B$2:$B$167,"Баннеры",'Тест-кейсы'!$L$2:$L$167,"Да")</f>
        <v/>
      </c>
      <c r="G32" s="11">
        <f>COUNTIFS('Тест-кейсы'!$B$2:$B$167,"Баннеры",'Тест-кейсы'!$L$2:$L$167,"Частично")</f>
        <v/>
      </c>
      <c r="H32" s="11">
        <f>COUNTIFS('Тест-кейсы'!$B$2:$B$167,"Баннеры",'Тест-кейсы'!$L$2:$L$167,"Нет")</f>
        <v/>
      </c>
      <c r="I32" s="11">
        <f>COUNTIFS('Тест-кейсы'!$B$2:$B$167,"Баннеры",'Тест-кейсы'!$N$2:$N$167,"Автоматизирован")</f>
        <v/>
      </c>
      <c r="J32" s="12">
        <f>IF(B32=0,0,I32/B32)</f>
        <v/>
      </c>
      <c r="K32" s="11">
        <f>COUNTIFS('Тест-кейсы'!$B$2:$B$167,"Баннеры",'Тест-кейсы'!$P$2:$P$167,"Passed")</f>
        <v/>
      </c>
      <c r="L32" s="11">
        <f>COUNTIFS('Тест-кейсы'!$B$2:$B$167,"Баннеры",'Тест-кейсы'!$P$2:$P$167,"Failed")</f>
        <v/>
      </c>
      <c r="M32" s="11">
        <f>COUNTIFS('Тест-кейсы'!$B$2:$B$167,"Баннеры",'Тест-кейсы'!$P$2:$P$167,"Blocked")</f>
        <v/>
      </c>
      <c r="N32" s="11">
        <f>COUNTIFS('Тест-кейсы'!$B$2:$B$167,"Баннеры",'Тест-кейсы'!$P$2:$P$167,"Skipped")</f>
        <v/>
      </c>
      <c r="O32" s="11">
        <f>COUNTIFS('Тест-кейсы'!$B$2:$B$167,"Баннеры",'Тест-кейсы'!$P$2:$P$167,"Не выполнен")</f>
        <v/>
      </c>
    </row>
    <row r="33">
      <c r="A33" s="13" t="inlineStr">
        <is>
          <t>DEBT — Долг и кошелёк</t>
        </is>
      </c>
      <c r="B33" s="14">
        <f>COUNTIF('Тест-кейсы'!$B$2:$B$167,"Долг и кошелёк")</f>
        <v/>
      </c>
      <c r="C33" s="14">
        <f>COUNTIFS('Тест-кейсы'!$B$2:$B$167,"Долг и кошелёк",'Тест-кейсы'!$E$2:$E$167,"P1")</f>
        <v/>
      </c>
      <c r="D33" s="14">
        <f>COUNTIFS('Тест-кейсы'!$B$2:$B$167,"Долг и кошелёк",'Тест-кейсы'!$E$2:$E$167,"P2")</f>
        <v/>
      </c>
      <c r="E33" s="14">
        <f>COUNTIFS('Тест-кейсы'!$B$2:$B$167,"Долг и кошелёк",'Тест-кейсы'!$E$2:$E$167,"P3")</f>
        <v/>
      </c>
      <c r="F33" s="14">
        <f>COUNTIFS('Тест-кейсы'!$B$2:$B$167,"Долг и кошелёк",'Тест-кейсы'!$L$2:$L$167,"Да")</f>
        <v/>
      </c>
      <c r="G33" s="14">
        <f>COUNTIFS('Тест-кейсы'!$B$2:$B$167,"Долг и кошелёк",'Тест-кейсы'!$L$2:$L$167,"Частично")</f>
        <v/>
      </c>
      <c r="H33" s="14">
        <f>COUNTIFS('Тест-кейсы'!$B$2:$B$167,"Долг и кошелёк",'Тест-кейсы'!$L$2:$L$167,"Нет")</f>
        <v/>
      </c>
      <c r="I33" s="14">
        <f>COUNTIFS('Тест-кейсы'!$B$2:$B$167,"Долг и кошелёк",'Тест-кейсы'!$N$2:$N$167,"Автоматизирован")</f>
        <v/>
      </c>
      <c r="J33" s="15">
        <f>IF(B33=0,0,I33/B33)</f>
        <v/>
      </c>
      <c r="K33" s="14">
        <f>COUNTIFS('Тест-кейсы'!$B$2:$B$167,"Долг и кошелёк",'Тест-кейсы'!$P$2:$P$167,"Passed")</f>
        <v/>
      </c>
      <c r="L33" s="14">
        <f>COUNTIFS('Тест-кейсы'!$B$2:$B$167,"Долг и кошелёк",'Тест-кейсы'!$P$2:$P$167,"Failed")</f>
        <v/>
      </c>
      <c r="M33" s="14">
        <f>COUNTIFS('Тест-кейсы'!$B$2:$B$167,"Долг и кошелёк",'Тест-кейсы'!$P$2:$P$167,"Blocked")</f>
        <v/>
      </c>
      <c r="N33" s="14">
        <f>COUNTIFS('Тест-кейсы'!$B$2:$B$167,"Долг и кошелёк",'Тест-кейсы'!$P$2:$P$167,"Skipped")</f>
        <v/>
      </c>
      <c r="O33" s="14">
        <f>COUNTIFS('Тест-кейсы'!$B$2:$B$167,"Долг и кошелёк",'Тест-кейсы'!$P$2:$P$167,"Не выполнен")</f>
        <v/>
      </c>
    </row>
    <row r="34">
      <c r="A34" s="10" t="inlineStr">
        <is>
          <t>MSG — Сообщения (Push, чат)</t>
        </is>
      </c>
      <c r="B34" s="11">
        <f>COUNTIF('Тест-кейсы'!$B$2:$B$167,"Сообщения (Push, чат)")</f>
        <v/>
      </c>
      <c r="C34" s="11">
        <f>COUNTIFS('Тест-кейсы'!$B$2:$B$167,"Сообщения (Push, чат)",'Тест-кейсы'!$E$2:$E$167,"P1")</f>
        <v/>
      </c>
      <c r="D34" s="11">
        <f>COUNTIFS('Тест-кейсы'!$B$2:$B$167,"Сообщения (Push, чат)",'Тест-кейсы'!$E$2:$E$167,"P2")</f>
        <v/>
      </c>
      <c r="E34" s="11">
        <f>COUNTIFS('Тест-кейсы'!$B$2:$B$167,"Сообщения (Push, чат)",'Тест-кейсы'!$E$2:$E$167,"P3")</f>
        <v/>
      </c>
      <c r="F34" s="11">
        <f>COUNTIFS('Тест-кейсы'!$B$2:$B$167,"Сообщения (Push, чат)",'Тест-кейсы'!$L$2:$L$167,"Да")</f>
        <v/>
      </c>
      <c r="G34" s="11">
        <f>COUNTIFS('Тест-кейсы'!$B$2:$B$167,"Сообщения (Push, чат)",'Тест-кейсы'!$L$2:$L$167,"Частично")</f>
        <v/>
      </c>
      <c r="H34" s="11">
        <f>COUNTIFS('Тест-кейсы'!$B$2:$B$167,"Сообщения (Push, чат)",'Тест-кейсы'!$L$2:$L$167,"Нет")</f>
        <v/>
      </c>
      <c r="I34" s="11">
        <f>COUNTIFS('Тест-кейсы'!$B$2:$B$167,"Сообщения (Push, чат)",'Тест-кейсы'!$N$2:$N$167,"Автоматизирован")</f>
        <v/>
      </c>
      <c r="J34" s="12">
        <f>IF(B34=0,0,I34/B34)</f>
        <v/>
      </c>
      <c r="K34" s="11">
        <f>COUNTIFS('Тест-кейсы'!$B$2:$B$167,"Сообщения (Push, чат)",'Тест-кейсы'!$P$2:$P$167,"Passed")</f>
        <v/>
      </c>
      <c r="L34" s="11">
        <f>COUNTIFS('Тест-кейсы'!$B$2:$B$167,"Сообщения (Push, чат)",'Тест-кейсы'!$P$2:$P$167,"Failed")</f>
        <v/>
      </c>
      <c r="M34" s="11">
        <f>COUNTIFS('Тест-кейсы'!$B$2:$B$167,"Сообщения (Push, чат)",'Тест-кейсы'!$P$2:$P$167,"Blocked")</f>
        <v/>
      </c>
      <c r="N34" s="11">
        <f>COUNTIFS('Тест-кейсы'!$B$2:$B$167,"Сообщения (Push, чат)",'Тест-кейсы'!$P$2:$P$167,"Skipped")</f>
        <v/>
      </c>
      <c r="O34" s="11">
        <f>COUNTIFS('Тест-кейсы'!$B$2:$B$167,"Сообщения (Push, чат)",'Тест-кейсы'!$P$2:$P$167,"Не выполнен")</f>
        <v/>
      </c>
    </row>
    <row r="35">
      <c r="A35" s="13" t="inlineStr">
        <is>
          <t>PERM — Права доступа</t>
        </is>
      </c>
      <c r="B35" s="14">
        <f>COUNTIF('Тест-кейсы'!$B$2:$B$167,"Права доступа")</f>
        <v/>
      </c>
      <c r="C35" s="14">
        <f>COUNTIFS('Тест-кейсы'!$B$2:$B$167,"Права доступа",'Тест-кейсы'!$E$2:$E$167,"P1")</f>
        <v/>
      </c>
      <c r="D35" s="14">
        <f>COUNTIFS('Тест-кейсы'!$B$2:$B$167,"Права доступа",'Тест-кейсы'!$E$2:$E$167,"P2")</f>
        <v/>
      </c>
      <c r="E35" s="14">
        <f>COUNTIFS('Тест-кейсы'!$B$2:$B$167,"Права доступа",'Тест-кейсы'!$E$2:$E$167,"P3")</f>
        <v/>
      </c>
      <c r="F35" s="14">
        <f>COUNTIFS('Тест-кейсы'!$B$2:$B$167,"Права доступа",'Тест-кейсы'!$L$2:$L$167,"Да")</f>
        <v/>
      </c>
      <c r="G35" s="14">
        <f>COUNTIFS('Тест-кейсы'!$B$2:$B$167,"Права доступа",'Тест-кейсы'!$L$2:$L$167,"Частично")</f>
        <v/>
      </c>
      <c r="H35" s="14">
        <f>COUNTIFS('Тест-кейсы'!$B$2:$B$167,"Права доступа",'Тест-кейсы'!$L$2:$L$167,"Нет")</f>
        <v/>
      </c>
      <c r="I35" s="14">
        <f>COUNTIFS('Тест-кейсы'!$B$2:$B$167,"Права доступа",'Тест-кейсы'!$N$2:$N$167,"Автоматизирован")</f>
        <v/>
      </c>
      <c r="J35" s="15">
        <f>IF(B35=0,0,I35/B35)</f>
        <v/>
      </c>
      <c r="K35" s="14">
        <f>COUNTIFS('Тест-кейсы'!$B$2:$B$167,"Права доступа",'Тест-кейсы'!$P$2:$P$167,"Passed")</f>
        <v/>
      </c>
      <c r="L35" s="14">
        <f>COUNTIFS('Тест-кейсы'!$B$2:$B$167,"Права доступа",'Тест-кейсы'!$P$2:$P$167,"Failed")</f>
        <v/>
      </c>
      <c r="M35" s="14">
        <f>COUNTIFS('Тест-кейсы'!$B$2:$B$167,"Права доступа",'Тест-кейсы'!$P$2:$P$167,"Blocked")</f>
        <v/>
      </c>
      <c r="N35" s="14">
        <f>COUNTIFS('Тест-кейсы'!$B$2:$B$167,"Права доступа",'Тест-кейсы'!$P$2:$P$167,"Skipped")</f>
        <v/>
      </c>
      <c r="O35" s="14">
        <f>COUNTIFS('Тест-кейсы'!$B$2:$B$167,"Права доступа",'Тест-кейсы'!$P$2:$P$167,"Не выполнен")</f>
        <v/>
      </c>
    </row>
    <row r="36">
      <c r="A36" s="10" t="inlineStr">
        <is>
          <t>REP — Отчёты</t>
        </is>
      </c>
      <c r="B36" s="11">
        <f>COUNTIF('Тест-кейсы'!$B$2:$B$167,"Отчёты")</f>
        <v/>
      </c>
      <c r="C36" s="11">
        <f>COUNTIFS('Тест-кейсы'!$B$2:$B$167,"Отчёты",'Тест-кейсы'!$E$2:$E$167,"P1")</f>
        <v/>
      </c>
      <c r="D36" s="11">
        <f>COUNTIFS('Тест-кейсы'!$B$2:$B$167,"Отчёты",'Тест-кейсы'!$E$2:$E$167,"P2")</f>
        <v/>
      </c>
      <c r="E36" s="11">
        <f>COUNTIFS('Тест-кейсы'!$B$2:$B$167,"Отчёты",'Тест-кейсы'!$E$2:$E$167,"P3")</f>
        <v/>
      </c>
      <c r="F36" s="11">
        <f>COUNTIFS('Тест-кейсы'!$B$2:$B$167,"Отчёты",'Тест-кейсы'!$L$2:$L$167,"Да")</f>
        <v/>
      </c>
      <c r="G36" s="11">
        <f>COUNTIFS('Тест-кейсы'!$B$2:$B$167,"Отчёты",'Тест-кейсы'!$L$2:$L$167,"Частично")</f>
        <v/>
      </c>
      <c r="H36" s="11">
        <f>COUNTIFS('Тест-кейсы'!$B$2:$B$167,"Отчёты",'Тест-кейсы'!$L$2:$L$167,"Нет")</f>
        <v/>
      </c>
      <c r="I36" s="11">
        <f>COUNTIFS('Тест-кейсы'!$B$2:$B$167,"Отчёты",'Тест-кейсы'!$N$2:$N$167,"Автоматизирован")</f>
        <v/>
      </c>
      <c r="J36" s="12">
        <f>IF(B36=0,0,I36/B36)</f>
        <v/>
      </c>
      <c r="K36" s="11">
        <f>COUNTIFS('Тест-кейсы'!$B$2:$B$167,"Отчёты",'Тест-кейсы'!$P$2:$P$167,"Passed")</f>
        <v/>
      </c>
      <c r="L36" s="11">
        <f>COUNTIFS('Тест-кейсы'!$B$2:$B$167,"Отчёты",'Тест-кейсы'!$P$2:$P$167,"Failed")</f>
        <v/>
      </c>
      <c r="M36" s="11">
        <f>COUNTIFS('Тест-кейсы'!$B$2:$B$167,"Отчёты",'Тест-кейсы'!$P$2:$P$167,"Blocked")</f>
        <v/>
      </c>
      <c r="N36" s="11">
        <f>COUNTIFS('Тест-кейсы'!$B$2:$B$167,"Отчёты",'Тест-кейсы'!$P$2:$P$167,"Skipped")</f>
        <v/>
      </c>
      <c r="O36" s="11">
        <f>COUNTIFS('Тест-кейсы'!$B$2:$B$167,"Отчёты",'Тест-кейсы'!$P$2:$P$167,"Не выполнен")</f>
        <v/>
      </c>
    </row>
    <row r="37">
      <c r="A37" s="13" t="inlineStr">
        <is>
          <t>E2E — Сквозные сценарии админка ↔ витрина</t>
        </is>
      </c>
      <c r="B37" s="14">
        <f>COUNTIF('Тест-кейсы'!$B$2:$B$167,"Сквозные сценарии админка ↔ витрина")</f>
        <v/>
      </c>
      <c r="C37" s="14">
        <f>COUNTIFS('Тест-кейсы'!$B$2:$B$167,"Сквозные сценарии админка ↔ витрина",'Тест-кейсы'!$E$2:$E$167,"P1")</f>
        <v/>
      </c>
      <c r="D37" s="14">
        <f>COUNTIFS('Тест-кейсы'!$B$2:$B$167,"Сквозные сценарии админка ↔ витрина",'Тест-кейсы'!$E$2:$E$167,"P2")</f>
        <v/>
      </c>
      <c r="E37" s="14">
        <f>COUNTIFS('Тест-кейсы'!$B$2:$B$167,"Сквозные сценарии админка ↔ витрина",'Тест-кейсы'!$E$2:$E$167,"P3")</f>
        <v/>
      </c>
      <c r="F37" s="14">
        <f>COUNTIFS('Тест-кейсы'!$B$2:$B$167,"Сквозные сценарии админка ↔ витрина",'Тест-кейсы'!$L$2:$L$167,"Да")</f>
        <v/>
      </c>
      <c r="G37" s="14">
        <f>COUNTIFS('Тест-кейсы'!$B$2:$B$167,"Сквозные сценарии админка ↔ витрина",'Тест-кейсы'!$L$2:$L$167,"Частично")</f>
        <v/>
      </c>
      <c r="H37" s="14">
        <f>COUNTIFS('Тест-кейсы'!$B$2:$B$167,"Сквозные сценарии админка ↔ витрина",'Тест-кейсы'!$L$2:$L$167,"Нет")</f>
        <v/>
      </c>
      <c r="I37" s="14">
        <f>COUNTIFS('Тест-кейсы'!$B$2:$B$167,"Сквозные сценарии админка ↔ витрина",'Тест-кейсы'!$N$2:$N$167,"Автоматизирован")</f>
        <v/>
      </c>
      <c r="J37" s="15">
        <f>IF(B37=0,0,I37/B37)</f>
        <v/>
      </c>
      <c r="K37" s="14">
        <f>COUNTIFS('Тест-кейсы'!$B$2:$B$167,"Сквозные сценарии админка ↔ витрина",'Тест-кейсы'!$P$2:$P$167,"Passed")</f>
        <v/>
      </c>
      <c r="L37" s="14">
        <f>COUNTIFS('Тест-кейсы'!$B$2:$B$167,"Сквозные сценарии админка ↔ витрина",'Тест-кейсы'!$P$2:$P$167,"Failed")</f>
        <v/>
      </c>
      <c r="M37" s="14">
        <f>COUNTIFS('Тест-кейсы'!$B$2:$B$167,"Сквозные сценарии админка ↔ витрина",'Тест-кейсы'!$P$2:$P$167,"Blocked")</f>
        <v/>
      </c>
      <c r="N37" s="14">
        <f>COUNTIFS('Тест-кейсы'!$B$2:$B$167,"Сквозные сценарии админка ↔ витрина",'Тест-кейсы'!$P$2:$P$167,"Skipped")</f>
        <v/>
      </c>
      <c r="O37" s="14">
        <f>COUNTIFS('Тест-кейсы'!$B$2:$B$167,"Сквозные сценарии админка ↔ витрина",'Тест-кейсы'!$P$2:$P$167,"Не выполнен")</f>
        <v/>
      </c>
    </row>
    <row r="38">
      <c r="A38" s="10" t="inlineStr">
        <is>
          <t>GEN — Общие проверки интерфейса</t>
        </is>
      </c>
      <c r="B38" s="11">
        <f>COUNTIF('Тест-кейсы'!$B$2:$B$167,"Общие проверки интерфейса")</f>
        <v/>
      </c>
      <c r="C38" s="11">
        <f>COUNTIFS('Тест-кейсы'!$B$2:$B$167,"Общие проверки интерфейса",'Тест-кейсы'!$E$2:$E$167,"P1")</f>
        <v/>
      </c>
      <c r="D38" s="11">
        <f>COUNTIFS('Тест-кейсы'!$B$2:$B$167,"Общие проверки интерфейса",'Тест-кейсы'!$E$2:$E$167,"P2")</f>
        <v/>
      </c>
      <c r="E38" s="11">
        <f>COUNTIFS('Тест-кейсы'!$B$2:$B$167,"Общие проверки интерфейса",'Тест-кейсы'!$E$2:$E$167,"P3")</f>
        <v/>
      </c>
      <c r="F38" s="11">
        <f>COUNTIFS('Тест-кейсы'!$B$2:$B$167,"Общие проверки интерфейса",'Тест-кейсы'!$L$2:$L$167,"Да")</f>
        <v/>
      </c>
      <c r="G38" s="11">
        <f>COUNTIFS('Тест-кейсы'!$B$2:$B$167,"Общие проверки интерфейса",'Тест-кейсы'!$L$2:$L$167,"Частично")</f>
        <v/>
      </c>
      <c r="H38" s="11">
        <f>COUNTIFS('Тест-кейсы'!$B$2:$B$167,"Общие проверки интерфейса",'Тест-кейсы'!$L$2:$L$167,"Нет")</f>
        <v/>
      </c>
      <c r="I38" s="11">
        <f>COUNTIFS('Тест-кейсы'!$B$2:$B$167,"Общие проверки интерфейса",'Тест-кейсы'!$N$2:$N$167,"Автоматизирован")</f>
        <v/>
      </c>
      <c r="J38" s="12">
        <f>IF(B38=0,0,I38/B38)</f>
        <v/>
      </c>
      <c r="K38" s="11">
        <f>COUNTIFS('Тест-кейсы'!$B$2:$B$167,"Общие проверки интерфейса",'Тест-кейсы'!$P$2:$P$167,"Passed")</f>
        <v/>
      </c>
      <c r="L38" s="11">
        <f>COUNTIFS('Тест-кейсы'!$B$2:$B$167,"Общие проверки интерфейса",'Тест-кейсы'!$P$2:$P$167,"Failed")</f>
        <v/>
      </c>
      <c r="M38" s="11">
        <f>COUNTIFS('Тест-кейсы'!$B$2:$B$167,"Общие проверки интерфейса",'Тест-кейсы'!$P$2:$P$167,"Blocked")</f>
        <v/>
      </c>
      <c r="N38" s="11">
        <f>COUNTIFS('Тест-кейсы'!$B$2:$B$167,"Общие проверки интерфейса",'Тест-кейсы'!$P$2:$P$167,"Skipped")</f>
        <v/>
      </c>
      <c r="O38" s="11">
        <f>COUNTIFS('Тест-кейсы'!$B$2:$B$167,"Общие проверки интерфейса",'Тест-кейсы'!$P$2:$P$167,"Не выполнен")</f>
        <v/>
      </c>
    </row>
    <row r="39">
      <c r="A39" s="16" t="inlineStr">
        <is>
          <t>ИТОГО</t>
        </is>
      </c>
      <c r="B39" s="17">
        <f>SUM(B14:B38)</f>
        <v/>
      </c>
      <c r="C39" s="17">
        <f>SUM(C14:C38)</f>
        <v/>
      </c>
      <c r="D39" s="17">
        <f>SUM(D14:D38)</f>
        <v/>
      </c>
      <c r="E39" s="17">
        <f>SUM(E14:E38)</f>
        <v/>
      </c>
      <c r="F39" s="17">
        <f>SUM(F14:F38)</f>
        <v/>
      </c>
      <c r="G39" s="17">
        <f>SUM(G14:G38)</f>
        <v/>
      </c>
      <c r="H39" s="17">
        <f>SUM(H14:H38)</f>
        <v/>
      </c>
      <c r="I39" s="17">
        <f>SUM(I14:I38)</f>
        <v/>
      </c>
      <c r="J39" s="18">
        <f>IF(B39=0,0,I39/B39)</f>
        <v/>
      </c>
      <c r="K39" s="17">
        <f>SUM(K14:K38)</f>
        <v/>
      </c>
      <c r="L39" s="17">
        <f>SUM(L14:L38)</f>
        <v/>
      </c>
      <c r="M39" s="17">
        <f>SUM(M14:M38)</f>
        <v/>
      </c>
      <c r="N39" s="17">
        <f>SUM(N14:N38)</f>
        <v/>
      </c>
      <c r="O39" s="17">
        <f>SUM(O14:O38)</f>
        <v/>
      </c>
    </row>
    <row r="40"/>
    <row r="41">
      <c r="A41" s="8" t="inlineStr">
        <is>
          <t>Легенда</t>
        </is>
      </c>
    </row>
    <row r="42">
      <c r="A42" s="19" t="inlineStr">
        <is>
          <t>P1 — критичный</t>
        </is>
      </c>
      <c r="B42" s="4" t="inlineStr">
        <is>
          <t>Блокирует релиз. Smoke-набор: прогоняется всегда.</t>
        </is>
      </c>
    </row>
    <row r="43">
      <c r="A43" s="20" t="inlineStr">
        <is>
          <t>P2 — высокий</t>
        </is>
      </c>
      <c r="B43" s="4" t="inlineStr">
        <is>
          <t>Важный функционал, прогоняется в полном регрессе.</t>
        </is>
      </c>
    </row>
    <row r="44">
      <c r="A44" s="21" t="inlineStr">
        <is>
          <t>P3 — средний</t>
        </is>
      </c>
      <c r="B44" s="4" t="inlineStr">
        <is>
          <t>UI/второстепенное, при нехватке времени можно отложить.</t>
        </is>
      </c>
    </row>
    <row r="45">
      <c r="A45" s="22" t="inlineStr">
        <is>
          <t>Можно автоматизировать: Да</t>
        </is>
      </c>
      <c r="B45" s="4" t="inlineStr">
        <is>
          <t>Сценарий стабилен и полностью проверяется через UI (Playwright).</t>
        </is>
      </c>
    </row>
    <row r="46">
      <c r="A46" s="23" t="inlineStr">
        <is>
          <t>Можно автоматизировать: Частично</t>
        </is>
      </c>
      <c r="B46" s="4" t="inlineStr">
        <is>
          <t>Нужны SMS/OTP, админка/API для подготовки данных или визуальная оценка.</t>
        </is>
      </c>
    </row>
    <row r="47">
      <c r="A47" s="19" t="inlineStr">
        <is>
          <t>Можно автоматизировать: Нет</t>
        </is>
      </c>
      <c r="B47" s="4" t="inlineStr">
        <is>
          <t>Требует реального устройства или деструктивно — только вручную.</t>
        </is>
      </c>
    </row>
    <row r="48">
      <c r="A48" s="24" t="inlineStr">
        <is>
          <t>Статус: Автоматизирован</t>
        </is>
      </c>
      <c r="B48" s="4" t="inlineStr">
        <is>
          <t>Есть автотест в репозитории aros-ui (колонка «Автотест»).</t>
        </is>
      </c>
    </row>
    <row r="49">
      <c r="A49" s="25" t="inlineStr">
        <is>
          <t>Результат прогона</t>
        </is>
      </c>
      <c r="B49" s="4" t="inlineStr">
        <is>
          <t>Выбирается из списка: Passed / Failed / Blocked / Skipped / Не выполнен.</t>
        </is>
      </c>
    </row>
    <row r="50">
      <c r="A50" s="25" t="inlineStr">
        <is>
          <t>Тип</t>
        </is>
      </c>
      <c r="B50" s="4" t="inlineStr">
        <is>
          <t>Smoke, Functional, Negative, UI, Security, Integration, Technical, Non-functional.</t>
        </is>
      </c>
    </row>
    <row r="51">
      <c r="A51" s="25" t="inlineStr">
        <is>
          <t>Требование / источник</t>
        </is>
      </c>
      <c r="B51" s="4" t="inlineStr">
        <is>
          <t>PRD из Confluence (лист «Источники») или «Проверено на staging». Integration — нужен шаг в админке.</t>
        </is>
      </c>
    </row>
  </sheetData>
  <mergeCells count="19">
    <mergeCell ref="B9:H9"/>
    <mergeCell ref="B47:O47"/>
    <mergeCell ref="B6:H6"/>
    <mergeCell ref="B46:O46"/>
    <mergeCell ref="B5:H5"/>
    <mergeCell ref="B43:O43"/>
    <mergeCell ref="B4:H4"/>
    <mergeCell ref="B48:O48"/>
    <mergeCell ref="B7:H7"/>
    <mergeCell ref="B42:O42"/>
    <mergeCell ref="B44:O44"/>
    <mergeCell ref="B11:H11"/>
    <mergeCell ref="B8:H8"/>
    <mergeCell ref="B49:O49"/>
    <mergeCell ref="A1:O1"/>
    <mergeCell ref="B51:O51"/>
    <mergeCell ref="B10:H10"/>
    <mergeCell ref="B45:O45"/>
    <mergeCell ref="B50:O50"/>
  </mergeCells>
  <conditionalFormatting sqref="J14:J38">
    <cfRule type="expression" priority="1" dxfId="0">
      <formula>J14&gt;=0.5</formula>
    </cfRule>
  </conditionalFormatting>
  <conditionalFormatting sqref="L14:L39">
    <cfRule type="expression" priority="2" dxfId="1">
      <formula>L14&gt;0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6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38" customWidth="1" min="4" max="4"/>
    <col width="10" customWidth="1" min="5" max="5"/>
    <col width="13" customWidth="1" min="6" max="6"/>
    <col width="28" customWidth="1" min="7" max="7"/>
    <col width="50" customWidth="1" min="8" max="8"/>
    <col width="22" customWidth="1" min="9" max="9"/>
    <col width="48" customWidth="1" min="10" max="10"/>
    <col width="26" customWidth="1" min="11" max="11"/>
    <col width="15" customWidth="1" min="12" max="12"/>
    <col width="30" customWidth="1" min="13" max="13"/>
    <col width="17" customWidth="1" min="14" max="14"/>
    <col width="34" customWidth="1" min="15" max="15"/>
    <col width="14" customWidth="1" min="16" max="16"/>
    <col width="30" customWidth="1" min="17" max="17"/>
  </cols>
  <sheetData>
    <row r="1" ht="42" customHeight="1">
      <c r="A1" s="9" t="inlineStr">
        <is>
          <t>ID</t>
        </is>
      </c>
      <c r="B1" s="9" t="inlineStr">
        <is>
          <t>Модуль</t>
        </is>
      </c>
      <c r="C1" s="9" t="inlineStr">
        <is>
          <t>Подмодуль</t>
        </is>
      </c>
      <c r="D1" s="9" t="inlineStr">
        <is>
          <t>Название тест-кейса</t>
        </is>
      </c>
      <c r="E1" s="9" t="inlineStr">
        <is>
          <t>Приоритет</t>
        </is>
      </c>
      <c r="F1" s="9" t="inlineStr">
        <is>
          <t>Тип</t>
        </is>
      </c>
      <c r="G1" s="9" t="inlineStr">
        <is>
          <t>Предусловия</t>
        </is>
      </c>
      <c r="H1" s="9" t="inlineStr">
        <is>
          <t>Шаги</t>
        </is>
      </c>
      <c r="I1" s="9" t="inlineStr">
        <is>
          <t>Тестовые данные</t>
        </is>
      </c>
      <c r="J1" s="9" t="inlineStr">
        <is>
          <t>Ожидаемый результат</t>
        </is>
      </c>
      <c r="K1" s="9" t="inlineStr">
        <is>
          <t>Требование / источник</t>
        </is>
      </c>
      <c r="L1" s="9" t="inlineStr">
        <is>
          <t>Можно автоматизировать (UI)</t>
        </is>
      </c>
      <c r="M1" s="9" t="inlineStr">
        <is>
          <t>Комментарий по автоматизации</t>
        </is>
      </c>
      <c r="N1" s="9" t="inlineStr">
        <is>
          <t>Статус UI-автоматизации</t>
        </is>
      </c>
      <c r="O1" s="9" t="inlineStr">
        <is>
          <t>Автотест (класс#метод)</t>
        </is>
      </c>
      <c r="P1" s="9" t="inlineStr">
        <is>
          <t>Результат прогона</t>
        </is>
      </c>
      <c r="Q1" s="9" t="inlineStr">
        <is>
          <t>Комментарий / ссылка на баг</t>
        </is>
      </c>
    </row>
    <row r="2" ht="48" customHeight="1">
      <c r="A2" s="26" t="inlineStr">
        <is>
          <t>AUTH-001</t>
        </is>
      </c>
      <c r="B2" s="27" t="inlineStr">
        <is>
          <t>Авторизация и доступ</t>
        </is>
      </c>
      <c r="C2" s="27" t="inlineStr">
        <is>
          <t>Вход</t>
        </is>
      </c>
      <c r="D2" s="28" t="inlineStr">
        <is>
          <t>Успешный вход в админку</t>
        </is>
      </c>
      <c r="E2" s="29" t="inlineStr">
        <is>
          <t>P1</t>
        </is>
      </c>
      <c r="F2" s="29" t="inlineStr">
        <is>
          <t>Smoke</t>
        </is>
      </c>
      <c r="G2" s="27" t="inlineStr">
        <is>
          <t>Пользователь не авторизован</t>
        </is>
      </c>
      <c r="H2" s="27" t="inlineStr">
        <is>
          <t>1. Открыть https://staging-admin.aros.uz
2. Ввести username и пароль
3. Нажать «Login»</t>
        </is>
      </c>
      <c r="I2" s="27" t="inlineStr">
        <is>
          <t>+998998987882 / &lt;пароль в .env&gt;</t>
        </is>
      </c>
      <c r="J2" s="27" t="inlineStr">
        <is>
          <t>Открыт Dashboard, в шапке аватар пользователя, тост «Successfully completed»</t>
        </is>
      </c>
      <c r="K2" s="27" t="inlineStr">
        <is>
          <t>Админка staging 28.10.2026</t>
        </is>
      </c>
      <c r="L2" s="29" t="inlineStr">
        <is>
          <t>Да</t>
        </is>
      </c>
      <c r="M2" s="27" t="inlineStr">
        <is>
          <t>Тест пропускается, если в .env нет ADMIN_USERNAME/ADMIN_PASSWORD</t>
        </is>
      </c>
      <c r="N2" s="29" t="inlineStr">
        <is>
          <t>Автоматизирован</t>
        </is>
      </c>
      <c r="O2" s="27" t="inlineStr">
        <is>
          <t>admin/AdminLoginTest#successfulLogin</t>
        </is>
      </c>
      <c r="P2" s="29" t="inlineStr">
        <is>
          <t>Не выполнен</t>
        </is>
      </c>
      <c r="Q2" s="27" t="inlineStr"/>
    </row>
    <row r="3" ht="34" customHeight="1">
      <c r="A3" s="26" t="inlineStr">
        <is>
          <t>AUTH-002</t>
        </is>
      </c>
      <c r="B3" s="27" t="inlineStr">
        <is>
          <t>Авторизация и доступ</t>
        </is>
      </c>
      <c r="C3" s="27" t="inlineStr">
        <is>
          <t>Вход</t>
        </is>
      </c>
      <c r="D3" s="28" t="inlineStr">
        <is>
          <t>Вход с неверным паролем</t>
        </is>
      </c>
      <c r="E3" s="29" t="inlineStr">
        <is>
          <t>P1</t>
        </is>
      </c>
      <c r="F3" s="29" t="inlineStr">
        <is>
          <t>Negative</t>
        </is>
      </c>
      <c r="G3" s="27" t="inlineStr">
        <is>
          <t>Пользователь не авторизован</t>
        </is>
      </c>
      <c r="H3" s="27" t="inlineStr">
        <is>
          <t>1. Ввести верный username и неверный пароль
2. «Login»</t>
        </is>
      </c>
      <c r="I3" s="27" t="inlineStr"/>
      <c r="J3" s="27" t="inlineStr">
        <is>
          <t>Ошибка авторизации, форма входа остаётся, доступа к страницам нет</t>
        </is>
      </c>
      <c r="K3" s="27" t="inlineStr"/>
      <c r="L3" s="29" t="inlineStr">
        <is>
          <t>Да</t>
        </is>
      </c>
      <c r="M3" s="27" t="inlineStr">
        <is>
          <t>Нужны ADMIN_* в .env</t>
        </is>
      </c>
      <c r="N3" s="29" t="inlineStr">
        <is>
          <t>Автоматизирован</t>
        </is>
      </c>
      <c r="O3" s="27" t="inlineStr">
        <is>
          <t>admin/AdminLoginTest#loginFailsWithWrongPassword</t>
        </is>
      </c>
      <c r="P3" s="29" t="inlineStr">
        <is>
          <t>Не выполнен</t>
        </is>
      </c>
      <c r="Q3" s="27" t="inlineStr"/>
    </row>
    <row r="4" ht="34" customHeight="1">
      <c r="A4" s="26" t="inlineStr">
        <is>
          <t>AUTH-003</t>
        </is>
      </c>
      <c r="B4" s="27" t="inlineStr">
        <is>
          <t>Авторизация и доступ</t>
        </is>
      </c>
      <c r="C4" s="27" t="inlineStr">
        <is>
          <t>Вход</t>
        </is>
      </c>
      <c r="D4" s="28" t="inlineStr">
        <is>
          <t>Вход с пустыми полями</t>
        </is>
      </c>
      <c r="E4" s="29" t="inlineStr">
        <is>
          <t>P2</t>
        </is>
      </c>
      <c r="F4" s="29" t="inlineStr">
        <is>
          <t>Negative</t>
        </is>
      </c>
      <c r="G4" s="27" t="inlineStr">
        <is>
          <t>Пользователь не авторизован</t>
        </is>
      </c>
      <c r="H4" s="27" t="inlineStr">
        <is>
          <t>1. Нажать «Login» с пустыми полями
2. Заполнить только username</t>
        </is>
      </c>
      <c r="I4" s="27" t="inlineStr"/>
      <c r="J4" s="27" t="inlineStr">
        <is>
          <t>Валидация обязательных полей, запрос не отправляется</t>
        </is>
      </c>
      <c r="K4" s="27" t="inlineStr"/>
      <c r="L4" s="29" t="inlineStr">
        <is>
          <t>Да</t>
        </is>
      </c>
      <c r="M4" s="27" t="inlineStr"/>
      <c r="N4" s="29" t="inlineStr">
        <is>
          <t>Не автоматизирован</t>
        </is>
      </c>
      <c r="O4" s="27" t="inlineStr"/>
      <c r="P4" s="29" t="inlineStr">
        <is>
          <t>Не выполнен</t>
        </is>
      </c>
      <c r="Q4" s="27" t="inlineStr"/>
    </row>
    <row r="5" ht="34" customHeight="1">
      <c r="A5" s="26" t="inlineStr">
        <is>
          <t>AUTH-004</t>
        </is>
      </c>
      <c r="B5" s="27" t="inlineStr">
        <is>
          <t>Авторизация и доступ</t>
        </is>
      </c>
      <c r="C5" s="27" t="inlineStr">
        <is>
          <t>Вход</t>
        </is>
      </c>
      <c r="D5" s="28" t="inlineStr">
        <is>
          <t>Маскировка пароля</t>
        </is>
      </c>
      <c r="E5" s="29" t="inlineStr">
        <is>
          <t>P3</t>
        </is>
      </c>
      <c r="F5" s="29" t="inlineStr">
        <is>
          <t>UI</t>
        </is>
      </c>
      <c r="G5" s="27" t="inlineStr">
        <is>
          <t>Открыта страница входа</t>
        </is>
      </c>
      <c r="H5" s="27" t="inlineStr">
        <is>
          <t>1. Ввести пароль
2. Нажать иконку глаза</t>
        </is>
      </c>
      <c r="I5" s="27" t="inlineStr"/>
      <c r="J5" s="27" t="inlineStr">
        <is>
          <t>По умолчанию пароль скрыт; иконка показывает/скрывает</t>
        </is>
      </c>
      <c r="K5" s="27" t="inlineStr"/>
      <c r="L5" s="29" t="inlineStr">
        <is>
          <t>Да</t>
        </is>
      </c>
      <c r="M5" s="27" t="inlineStr"/>
      <c r="N5" s="29" t="inlineStr">
        <is>
          <t>Не автоматизирован</t>
        </is>
      </c>
      <c r="O5" s="27" t="inlineStr"/>
      <c r="P5" s="29" t="inlineStr">
        <is>
          <t>Не выполнен</t>
        </is>
      </c>
      <c r="Q5" s="27" t="inlineStr"/>
    </row>
    <row r="6" ht="34" customHeight="1">
      <c r="A6" s="26" t="inlineStr">
        <is>
          <t>AUTH-005</t>
        </is>
      </c>
      <c r="B6" s="27" t="inlineStr">
        <is>
          <t>Авторизация и доступ</t>
        </is>
      </c>
      <c r="C6" s="27" t="inlineStr">
        <is>
          <t>Вход</t>
        </is>
      </c>
      <c r="D6" s="28" t="inlineStr">
        <is>
          <t>«Forgot password?»</t>
        </is>
      </c>
      <c r="E6" s="29" t="inlineStr">
        <is>
          <t>P3</t>
        </is>
      </c>
      <c r="F6" s="29" t="inlineStr">
        <is>
          <t>Functional</t>
        </is>
      </c>
      <c r="G6" s="27" t="inlineStr">
        <is>
          <t>Открыта страница входа</t>
        </is>
      </c>
      <c r="H6" s="27" t="inlineStr">
        <is>
          <t>1. Нажать «Forgot password?»</t>
        </is>
      </c>
      <c r="I6" s="27" t="inlineStr"/>
      <c r="J6" s="27" t="inlineStr">
        <is>
          <t>Открыта /forgot-password, форма восстановления работает</t>
        </is>
      </c>
      <c r="K6" s="27" t="inlineStr"/>
      <c r="L6" s="29" t="inlineStr">
        <is>
          <t>Частично</t>
        </is>
      </c>
      <c r="M6" s="27" t="inlineStr">
        <is>
          <t>Зависит от SMS/OTP</t>
        </is>
      </c>
      <c r="N6" s="29" t="inlineStr">
        <is>
          <t>Не автоматизирован</t>
        </is>
      </c>
      <c r="O6" s="27" t="inlineStr"/>
      <c r="P6" s="29" t="inlineStr">
        <is>
          <t>Не выполнен</t>
        </is>
      </c>
      <c r="Q6" s="27" t="inlineStr"/>
    </row>
    <row r="7" ht="34" customHeight="1">
      <c r="A7" s="26" t="inlineStr">
        <is>
          <t>AUTH-006</t>
        </is>
      </c>
      <c r="B7" s="27" t="inlineStr">
        <is>
          <t>Авторизация и доступ</t>
        </is>
      </c>
      <c r="C7" s="27" t="inlineStr">
        <is>
          <t>Сессия</t>
        </is>
      </c>
      <c r="D7" s="28" t="inlineStr">
        <is>
          <t>Прямой URL без авторизации</t>
        </is>
      </c>
      <c r="E7" s="29" t="inlineStr">
        <is>
          <t>P1</t>
        </is>
      </c>
      <c r="F7" s="29" t="inlineStr">
        <is>
          <t>Security</t>
        </is>
      </c>
      <c r="G7" s="27" t="inlineStr">
        <is>
          <t>Пользователь не авторизован</t>
        </is>
      </c>
      <c r="H7" s="27" t="inlineStr">
        <is>
          <t>1. Открыть /orders/orders-list, /users/user напрямую</t>
        </is>
      </c>
      <c r="I7" s="27" t="inlineStr"/>
      <c r="J7" s="27" t="inlineStr">
        <is>
          <t>Редирект на /sign-in, данные не показаны</t>
        </is>
      </c>
      <c r="K7" s="27" t="inlineStr"/>
      <c r="L7" s="29" t="inlineStr">
        <is>
          <t>Да</t>
        </is>
      </c>
      <c r="M7" s="27" t="inlineStr"/>
      <c r="N7" s="29" t="inlineStr">
        <is>
          <t>Не автоматизирован</t>
        </is>
      </c>
      <c r="O7" s="27" t="inlineStr"/>
      <c r="P7" s="29" t="inlineStr">
        <is>
          <t>Не выполнен</t>
        </is>
      </c>
      <c r="Q7" s="27" t="inlineStr"/>
    </row>
    <row r="8" ht="34" customHeight="1">
      <c r="A8" s="26" t="inlineStr">
        <is>
          <t>AUTH-007</t>
        </is>
      </c>
      <c r="B8" s="27" t="inlineStr">
        <is>
          <t>Авторизация и доступ</t>
        </is>
      </c>
      <c r="C8" s="27" t="inlineStr">
        <is>
          <t>Сессия</t>
        </is>
      </c>
      <c r="D8" s="28" t="inlineStr">
        <is>
          <t>Сессия сохраняется после перезагрузки</t>
        </is>
      </c>
      <c r="E8" s="29" t="inlineStr">
        <is>
          <t>P2</t>
        </is>
      </c>
      <c r="F8" s="29" t="inlineStr">
        <is>
          <t>Functional</t>
        </is>
      </c>
      <c r="G8" s="27" t="inlineStr">
        <is>
          <t>Вход в админку под тестовым аккаунтом (полные права)</t>
        </is>
      </c>
      <c r="H8" s="27" t="inlineStr">
        <is>
          <t>1. Обновить страницу
2. Открыть новую вкладку</t>
        </is>
      </c>
      <c r="I8" s="27" t="inlineStr"/>
      <c r="J8" s="27" t="inlineStr">
        <is>
          <t>Пользователь остаётся авторизован</t>
        </is>
      </c>
      <c r="K8" s="27" t="inlineStr"/>
      <c r="L8" s="29" t="inlineStr">
        <is>
          <t>Да</t>
        </is>
      </c>
      <c r="M8" s="27" t="inlineStr"/>
      <c r="N8" s="29" t="inlineStr">
        <is>
          <t>Не автоматизирован</t>
        </is>
      </c>
      <c r="O8" s="27" t="inlineStr"/>
      <c r="P8" s="29" t="inlineStr">
        <is>
          <t>Не выполнен</t>
        </is>
      </c>
      <c r="Q8" s="27" t="inlineStr"/>
    </row>
    <row r="9" ht="34" customHeight="1">
      <c r="A9" s="26" t="inlineStr">
        <is>
          <t>AUTH-008</t>
        </is>
      </c>
      <c r="B9" s="27" t="inlineStr">
        <is>
          <t>Авторизация и доступ</t>
        </is>
      </c>
      <c r="C9" s="27" t="inlineStr">
        <is>
          <t>Сессия</t>
        </is>
      </c>
      <c r="D9" s="28" t="inlineStr">
        <is>
          <t>Выход из админки</t>
        </is>
      </c>
      <c r="E9" s="29" t="inlineStr">
        <is>
          <t>P1</t>
        </is>
      </c>
      <c r="F9" s="29" t="inlineStr">
        <is>
          <t>Smoke</t>
        </is>
      </c>
      <c r="G9" s="27" t="inlineStr">
        <is>
          <t>Вход в админку под тестовым аккаунтом (полные права)</t>
        </is>
      </c>
      <c r="H9" s="27" t="inlineStr">
        <is>
          <t>1. Меню аватара → Logout</t>
        </is>
      </c>
      <c r="I9" s="27" t="inlineStr"/>
      <c r="J9" s="27" t="inlineStr">
        <is>
          <t>Сессия завершена, редирект на /sign-in; «Назад» в браузере не открывает данные</t>
        </is>
      </c>
      <c r="K9" s="27" t="inlineStr"/>
      <c r="L9" s="29" t="inlineStr">
        <is>
          <t>Да</t>
        </is>
      </c>
      <c r="M9" s="27" t="inlineStr"/>
      <c r="N9" s="29" t="inlineStr">
        <is>
          <t>Не автоматизирован</t>
        </is>
      </c>
      <c r="O9" s="27" t="inlineStr"/>
      <c r="P9" s="29" t="inlineStr">
        <is>
          <t>Не выполнен</t>
        </is>
      </c>
      <c r="Q9" s="27" t="inlineStr"/>
    </row>
    <row r="10" ht="34" customHeight="1">
      <c r="A10" s="26" t="inlineStr">
        <is>
          <t>AUTH-009</t>
        </is>
      </c>
      <c r="B10" s="27" t="inlineStr">
        <is>
          <t>Авторизация и доступ</t>
        </is>
      </c>
      <c r="C10" s="27" t="inlineStr">
        <is>
          <t>Доступ</t>
        </is>
      </c>
      <c r="D10" s="28" t="inlineStr">
        <is>
          <t>Пользователь без доступа к админке (клиент)</t>
        </is>
      </c>
      <c r="E10" s="29" t="inlineStr">
        <is>
          <t>P2</t>
        </is>
      </c>
      <c r="F10" s="29" t="inlineStr">
        <is>
          <t>Security</t>
        </is>
      </c>
      <c r="G10" s="27" t="inlineStr">
        <is>
          <t>Аккаунт клиента без роли сотрудника</t>
        </is>
      </c>
      <c r="H10" s="27" t="inlineStr">
        <is>
          <t>1. Войти в админку клиентским аккаунтом</t>
        </is>
      </c>
      <c r="I10" s="27" t="inlineStr"/>
      <c r="J10" s="27" t="inlineStr">
        <is>
          <t>Вход запрещён или нет ни одного модуля</t>
        </is>
      </c>
      <c r="K10" s="27" t="inlineStr"/>
      <c r="L10" s="29" t="inlineStr">
        <is>
          <t>Частично</t>
        </is>
      </c>
      <c r="M10" s="27" t="inlineStr">
        <is>
          <t>Нужен аккаунт без прав</t>
        </is>
      </c>
      <c r="N10" s="29" t="inlineStr">
        <is>
          <t>Не автоматизирован</t>
        </is>
      </c>
      <c r="O10" s="27" t="inlineStr"/>
      <c r="P10" s="29" t="inlineStr">
        <is>
          <t>Не выполнен</t>
        </is>
      </c>
      <c r="Q10" s="27" t="inlineStr"/>
    </row>
    <row r="11" ht="76" customHeight="1">
      <c r="A11" s="30" t="inlineStr">
        <is>
          <t>DASH-001</t>
        </is>
      </c>
      <c r="B11" s="31" t="inlineStr">
        <is>
          <t>Главная (Dashboard)</t>
        </is>
      </c>
      <c r="C11" s="31" t="inlineStr">
        <is>
          <t>Лимит филиалов</t>
        </is>
      </c>
      <c r="D11" s="32" t="inlineStr">
        <is>
          <t>Блок «Branch debt limit»</t>
        </is>
      </c>
      <c r="E11" s="33" t="inlineStr">
        <is>
          <t>P2</t>
        </is>
      </c>
      <c r="F11" s="33" t="inlineStr">
        <is>
          <t>Functional</t>
        </is>
      </c>
      <c r="G11" s="31" t="inlineStr">
        <is>
          <t>Вход в админку под тестовым аккаунтом (полные права)</t>
        </is>
      </c>
      <c r="H11" s="31" t="inlineStr">
        <is>
          <t>1. Открыть Dashboard
2. Переключить вкладки филиалов</t>
        </is>
      </c>
      <c r="I11" s="31" t="inlineStr"/>
      <c r="J11" s="31" t="inlineStr">
        <is>
          <t>Карточки: Total limit, Debt of limited branches, Over the limit, Near the limit 80–100%, Branches without limit; по филиалу: Limit, Current debt, Remaining, Occupancy %; «Go to list» → /debt/warehouse-debt-limits</t>
        </is>
      </c>
      <c r="K11" s="31" t="inlineStr">
        <is>
          <t>PRD Filial qarz limiti</t>
        </is>
      </c>
      <c r="L11" s="33" t="inlineStr">
        <is>
          <t>Да</t>
        </is>
      </c>
      <c r="M11" s="31" t="inlineStr"/>
      <c r="N11" s="33" t="inlineStr">
        <is>
          <t>Не автоматизирован</t>
        </is>
      </c>
      <c r="O11" s="31" t="inlineStr"/>
      <c r="P11" s="33" t="inlineStr">
        <is>
          <t>Не выполнен</t>
        </is>
      </c>
      <c r="Q11" s="31" t="inlineStr"/>
    </row>
    <row r="12" ht="48" customHeight="1">
      <c r="A12" s="30" t="inlineStr">
        <is>
          <t>DASH-002</t>
        </is>
      </c>
      <c r="B12" s="31" t="inlineStr">
        <is>
          <t>Главная (Dashboard)</t>
        </is>
      </c>
      <c r="C12" s="31" t="inlineStr">
        <is>
          <t>Касса</t>
        </is>
      </c>
      <c r="D12" s="32" t="inlineStr">
        <is>
          <t>Блок «Cashier Report»: вкладки и «Refresh»</t>
        </is>
      </c>
      <c r="E12" s="33" t="inlineStr">
        <is>
          <t>P2</t>
        </is>
      </c>
      <c r="F12" s="33" t="inlineStr">
        <is>
          <t>Functional</t>
        </is>
      </c>
      <c r="G12" s="31" t="inlineStr">
        <is>
          <t>Вход в админку под тестовым аккаунтом (полные права)</t>
        </is>
      </c>
      <c r="H12" s="31" t="inlineStr">
        <is>
          <t>1. Выбрать вкладку склада
2. Нажать «Refresh»</t>
        </is>
      </c>
      <c r="I12" s="31" t="inlineStr"/>
      <c r="J12" s="31" t="inlineStr">
        <is>
          <t>Считается только выбранный склад; данные пересчитываются только по «Refresh»; при ошибке остаётся старый снимок с сообщением; время снимка обновляется</t>
        </is>
      </c>
      <c r="K12" s="31" t="inlineStr">
        <is>
          <t>PRD Bosh sahifa — Kassa bloki</t>
        </is>
      </c>
      <c r="L12" s="33" t="inlineStr">
        <is>
          <t>Частично</t>
        </is>
      </c>
      <c r="M12" s="31" t="inlineStr">
        <is>
          <t>Суммы сверять с отчётом кассы</t>
        </is>
      </c>
      <c r="N12" s="33" t="inlineStr">
        <is>
          <t>Не автоматизирован</t>
        </is>
      </c>
      <c r="O12" s="31" t="inlineStr"/>
      <c r="P12" s="33" t="inlineStr">
        <is>
          <t>Не выполнен</t>
        </is>
      </c>
      <c r="Q12" s="31" t="inlineStr"/>
    </row>
    <row r="13" ht="34" customHeight="1">
      <c r="A13" s="30" t="inlineStr">
        <is>
          <t>DASH-003</t>
        </is>
      </c>
      <c r="B13" s="31" t="inlineStr">
        <is>
          <t>Главная (Dashboard)</t>
        </is>
      </c>
      <c r="C13" s="31" t="inlineStr">
        <is>
          <t>Рейтинг</t>
        </is>
      </c>
      <c r="D13" s="32" t="inlineStr">
        <is>
          <t>Блок рейтинга складов</t>
        </is>
      </c>
      <c r="E13" s="33" t="inlineStr">
        <is>
          <t>P3</t>
        </is>
      </c>
      <c r="F13" s="33" t="inlineStr">
        <is>
          <t>UI</t>
        </is>
      </c>
      <c r="G13" s="31" t="inlineStr">
        <is>
          <t>Вход в админку под тестовым аккаунтом (полные права)</t>
        </is>
      </c>
      <c r="H13" s="31" t="inlineStr">
        <is>
          <t>1. Прокрутить Dashboard
2. Нажать «View all»</t>
        </is>
      </c>
      <c r="I13" s="31" t="inlineStr"/>
      <c r="J13" s="31" t="inlineStr">
        <is>
          <t>Блок отображается; «View all» → /warehouse/warehouse-rating</t>
        </is>
      </c>
      <c r="K13" s="31" t="inlineStr"/>
      <c r="L13" s="33" t="inlineStr">
        <is>
          <t>Да</t>
        </is>
      </c>
      <c r="M13" s="31" t="inlineStr"/>
      <c r="N13" s="33" t="inlineStr">
        <is>
          <t>Не автоматизирован</t>
        </is>
      </c>
      <c r="O13" s="31" t="inlineStr"/>
      <c r="P13" s="33" t="inlineStr">
        <is>
          <t>Не выполнен</t>
        </is>
      </c>
      <c r="Q13" s="31" t="inlineStr"/>
    </row>
    <row r="14" ht="34" customHeight="1">
      <c r="A14" s="30" t="inlineStr">
        <is>
          <t>DASH-004</t>
        </is>
      </c>
      <c r="B14" s="31" t="inlineStr">
        <is>
          <t>Главная (Dashboard)</t>
        </is>
      </c>
      <c r="C14" s="31" t="inlineStr">
        <is>
          <t>Доступ</t>
        </is>
      </c>
      <c r="D14" s="32" t="inlineStr">
        <is>
          <t>Склады на Dashboard по правам пользователя</t>
        </is>
      </c>
      <c r="E14" s="33" t="inlineStr">
        <is>
          <t>P2</t>
        </is>
      </c>
      <c r="F14" s="33" t="inlineStr">
        <is>
          <t>Security</t>
        </is>
      </c>
      <c r="G14" s="31" t="inlineStr">
        <is>
          <t>Пользователь — продавец одного склада</t>
        </is>
      </c>
      <c r="H14" s="31" t="inlineStr">
        <is>
          <t>1. Открыть Dashboard</t>
        </is>
      </c>
      <c r="I14" s="31" t="inlineStr"/>
      <c r="J14" s="31" t="inlineStr">
        <is>
          <t>Видна только вкладка своего склада</t>
        </is>
      </c>
      <c r="K14" s="31" t="inlineStr"/>
      <c r="L14" s="33" t="inlineStr">
        <is>
          <t>Частично</t>
        </is>
      </c>
      <c r="M14" s="31" t="inlineStr">
        <is>
          <t>Нужен аккаунт продавца</t>
        </is>
      </c>
      <c r="N14" s="33" t="inlineStr">
        <is>
          <t>Не автоматизирован</t>
        </is>
      </c>
      <c r="O14" s="31" t="inlineStr"/>
      <c r="P14" s="33" t="inlineStr">
        <is>
          <t>Не выполнен</t>
        </is>
      </c>
      <c r="Q14" s="31" t="inlineStr"/>
    </row>
    <row r="15" ht="48" customHeight="1">
      <c r="A15" s="26" t="inlineStr">
        <is>
          <t>PINC-001</t>
        </is>
      </c>
      <c r="B15" s="27" t="inlineStr">
        <is>
          <t>Приход товара (Product income)</t>
        </is>
      </c>
      <c r="C15" s="27" t="inlineStr">
        <is>
          <t>Список</t>
        </is>
      </c>
      <c r="D15" s="28" t="inlineStr">
        <is>
          <t>Список и фильтры прихода</t>
        </is>
      </c>
      <c r="E15" s="29" t="inlineStr">
        <is>
          <t>P2</t>
        </is>
      </c>
      <c r="F15" s="29" t="inlineStr">
        <is>
          <t>Functional</t>
        </is>
      </c>
      <c r="G15" s="27" t="inlineStr">
        <is>
          <t>Вход в админку под тестовым аккаунтом (полные права)</t>
        </is>
      </c>
      <c r="H15" s="27" t="inlineStr">
        <is>
          <t>1. Открыть Products actions → Product income
2. Фильтр: Date range, Warehouse, Provider, Status, Delivery Status</t>
        </is>
      </c>
      <c r="I15" s="27" t="inlineStr"/>
      <c r="J15" s="27" t="inlineStr">
        <is>
          <t>Список фильтруется; колонки ID, Created date, Warehouse, Provider, Price, Status, Delivery status, Post status, Posted at; пагинация</t>
        </is>
      </c>
      <c r="K15" s="27" t="inlineStr"/>
      <c r="L15" s="29" t="inlineStr">
        <is>
          <t>Да</t>
        </is>
      </c>
      <c r="M15" s="27" t="inlineStr"/>
      <c r="N15" s="29" t="inlineStr">
        <is>
          <t>Не автоматизирован</t>
        </is>
      </c>
      <c r="O15" s="27" t="inlineStr"/>
      <c r="P15" s="29" t="inlineStr">
        <is>
          <t>Не выполнен</t>
        </is>
      </c>
      <c r="Q15" s="27" t="inlineStr"/>
    </row>
    <row r="16" ht="90" customHeight="1">
      <c r="A16" s="26" t="inlineStr">
        <is>
          <t>PINC-002</t>
        </is>
      </c>
      <c r="B16" s="27" t="inlineStr">
        <is>
          <t>Приход товара (Product income)</t>
        </is>
      </c>
      <c r="C16" s="27" t="inlineStr">
        <is>
          <t>Создание</t>
        </is>
      </c>
      <c r="D16" s="28" t="inlineStr">
        <is>
          <t>Создание документа прихода</t>
        </is>
      </c>
      <c r="E16" s="29" t="inlineStr">
        <is>
          <t>P1</t>
        </is>
      </c>
      <c r="F16" s="29" t="inlineStr">
        <is>
          <t>Smoke</t>
        </is>
      </c>
      <c r="G16" s="27" t="inlineStr">
        <is>
          <t>Вход в админку под тестовым аккаунтом (полные права)</t>
        </is>
      </c>
      <c r="H16" s="27" t="inlineStr">
        <is>
          <t>1. «Create»
2. Выбрать Warehouse, Provider, Delivery Status, Delivery date, Currency
3. «Add» — добавить вариант, количество, цену прихода
4. «Save»</t>
        </is>
      </c>
      <c r="I16" s="27" t="inlineStr">
        <is>
          <t>Склад: Asosiy ombor; поставщик — любой</t>
        </is>
      </c>
      <c r="J16" s="27" t="inlineStr">
        <is>
          <t>Документ создан в статусе «Создан»; в строке подтянуты последняя цена прихода, средняя цена, цены B2B/B2M/B2C</t>
        </is>
      </c>
      <c r="K16" s="27" t="inlineStr"/>
      <c r="L16" s="29" t="inlineStr">
        <is>
          <t>Да</t>
        </is>
      </c>
      <c r="M16" s="27" t="inlineStr"/>
      <c r="N16" s="29" t="inlineStr">
        <is>
          <t>Не автоматизирован</t>
        </is>
      </c>
      <c r="O16" s="27" t="inlineStr"/>
      <c r="P16" s="29" t="inlineStr">
        <is>
          <t>Не выполнен</t>
        </is>
      </c>
      <c r="Q16" s="27" t="inlineStr"/>
    </row>
    <row r="17" ht="48" customHeight="1">
      <c r="A17" s="26" t="inlineStr">
        <is>
          <t>PINC-003</t>
        </is>
      </c>
      <c r="B17" s="27" t="inlineStr">
        <is>
          <t>Приход товара (Product income)</t>
        </is>
      </c>
      <c r="C17" s="27" t="inlineStr">
        <is>
          <t>Цены</t>
        </is>
      </c>
      <c r="D17" s="28" t="inlineStr">
        <is>
          <t>Расчёт средней цены и наценки</t>
        </is>
      </c>
      <c r="E17" s="29" t="inlineStr">
        <is>
          <t>P1</t>
        </is>
      </c>
      <c r="F17" s="29" t="inlineStr">
        <is>
          <t>Functional</t>
        </is>
      </c>
      <c r="G17" s="27" t="inlineStr">
        <is>
          <t>Вход в админку под тестовым аккаунтом (полные права); открыт документ прихода</t>
        </is>
      </c>
      <c r="H17" s="27" t="inlineStr">
        <is>
          <t>1. Ввести цену прихода, Fare percent, Custom clearance
2. Нажать «Fill income price» / «Apply»</t>
        </is>
      </c>
      <c r="I17" s="27" t="inlineStr"/>
      <c r="J17" s="27" t="inlineStr">
        <is>
          <t>Средняя цена пересчитана; цены B2B/B2M/B2C ≥ 1 и в диапазоне [средняя цена; средняя × (1 + Max margin %)]</t>
        </is>
      </c>
      <c r="K17" s="27" t="inlineStr">
        <is>
          <t>PRD Product Income Excel Import</t>
        </is>
      </c>
      <c r="L17" s="29" t="inlineStr">
        <is>
          <t>Частично</t>
        </is>
      </c>
      <c r="M17" s="27" t="inlineStr">
        <is>
          <t>Формулу сверять по API calculate-average-prices</t>
        </is>
      </c>
      <c r="N17" s="29" t="inlineStr">
        <is>
          <t>Не автоматизирован</t>
        </is>
      </c>
      <c r="O17" s="27" t="inlineStr"/>
      <c r="P17" s="29" t="inlineStr">
        <is>
          <t>Не выполнен</t>
        </is>
      </c>
      <c r="Q17" s="27" t="inlineStr"/>
    </row>
    <row r="18" ht="48" customHeight="1">
      <c r="A18" s="26" t="inlineStr">
        <is>
          <t>PINC-004</t>
        </is>
      </c>
      <c r="B18" s="27" t="inlineStr">
        <is>
          <t>Приход товара (Product income)</t>
        </is>
      </c>
      <c r="C18" s="27" t="inlineStr">
        <is>
          <t>Цены</t>
        </is>
      </c>
      <c r="D18" s="28" t="inlineStr">
        <is>
          <t>Цена продажи вне допустимого диапазона</t>
        </is>
      </c>
      <c r="E18" s="29" t="inlineStr">
        <is>
          <t>P1</t>
        </is>
      </c>
      <c r="F18" s="29" t="inlineStr">
        <is>
          <t>Negative</t>
        </is>
      </c>
      <c r="G18" s="27" t="inlineStr">
        <is>
          <t>Вход в админку под тестовым аккаунтом (полные права); открыт документ прихода</t>
        </is>
      </c>
      <c r="H18" s="27" t="inlineStr">
        <is>
          <t>1. Указать цену B2C ниже средней цены
2. «Save»</t>
        </is>
      </c>
      <c r="I18" s="27" t="inlineStr"/>
      <c r="J18" s="27" t="inlineStr">
        <is>
          <t>Сохранение заблокировано, ошибка у строки</t>
        </is>
      </c>
      <c r="K18" s="27" t="inlineStr"/>
      <c r="L18" s="29" t="inlineStr">
        <is>
          <t>Да</t>
        </is>
      </c>
      <c r="M18" s="27" t="inlineStr"/>
      <c r="N18" s="29" t="inlineStr">
        <is>
          <t>Не автоматизирован</t>
        </is>
      </c>
      <c r="O18" s="27" t="inlineStr"/>
      <c r="P18" s="29" t="inlineStr">
        <is>
          <t>Не выполнен</t>
        </is>
      </c>
      <c r="Q18" s="27" t="inlineStr"/>
    </row>
    <row r="19" ht="48" customHeight="1">
      <c r="A19" s="26" t="inlineStr">
        <is>
          <t>PINC-005</t>
        </is>
      </c>
      <c r="B19" s="27" t="inlineStr">
        <is>
          <t>Приход товара (Product income)</t>
        </is>
      </c>
      <c r="C19" s="27" t="inlineStr">
        <is>
          <t>Excel</t>
        </is>
      </c>
      <c r="D19" s="28" t="inlineStr">
        <is>
          <t>Импорт строк из Excel поставщика</t>
        </is>
      </c>
      <c r="E19" s="29" t="inlineStr">
        <is>
          <t>P2</t>
        </is>
      </c>
      <c r="F19" s="29" t="inlineStr">
        <is>
          <t>Functional</t>
        </is>
      </c>
      <c r="G19" s="27" t="inlineStr">
        <is>
          <t>Вход в админку под тестовым аккаунтом (полные права); открыт новый документ прихода</t>
        </is>
      </c>
      <c r="H19" s="27" t="inlineStr">
        <is>
          <t>1. «Template» — скачать шаблон
2. Заполнить вариант, количество, цену
3. «Import»</t>
        </is>
      </c>
      <c r="I19" s="27" t="inlineStr"/>
      <c r="J19" s="27" t="inlineStr">
        <is>
          <t>Строки заполнены автоматически и сразу валидны для сохранения; производные цены подтянуты</t>
        </is>
      </c>
      <c r="K19" s="27" t="inlineStr">
        <is>
          <t>PRD Product Income Excel Import</t>
        </is>
      </c>
      <c r="L19" s="29" t="inlineStr">
        <is>
          <t>Да</t>
        </is>
      </c>
      <c r="M19" s="27" t="inlineStr"/>
      <c r="N19" s="29" t="inlineStr">
        <is>
          <t>Не автоматизирован</t>
        </is>
      </c>
      <c r="O19" s="27" t="inlineStr"/>
      <c r="P19" s="29" t="inlineStr">
        <is>
          <t>Не выполнен</t>
        </is>
      </c>
      <c r="Q19" s="27" t="inlineStr"/>
    </row>
    <row r="20" ht="34" customHeight="1">
      <c r="A20" s="26" t="inlineStr">
        <is>
          <t>PINC-006</t>
        </is>
      </c>
      <c r="B20" s="27" t="inlineStr">
        <is>
          <t>Приход товара (Product income)</t>
        </is>
      </c>
      <c r="C20" s="27" t="inlineStr">
        <is>
          <t>Excel</t>
        </is>
      </c>
      <c r="D20" s="28" t="inlineStr">
        <is>
          <t>Импорт Excel с ошибками</t>
        </is>
      </c>
      <c r="E20" s="29" t="inlineStr">
        <is>
          <t>P2</t>
        </is>
      </c>
      <c r="F20" s="29" t="inlineStr">
        <is>
          <t>Negative</t>
        </is>
      </c>
      <c r="G20" s="27" t="inlineStr">
        <is>
          <t>Вход в админку под тестовым аккаунтом (полные права)</t>
        </is>
      </c>
      <c r="H20" s="27" t="inlineStr">
        <is>
          <t>1. Импортировать файл с несуществующим вариантом / пустым количеством</t>
        </is>
      </c>
      <c r="I20" s="27" t="inlineStr"/>
      <c r="J20" s="27" t="inlineStr">
        <is>
          <t>Импорт целиком отклонён (всё или ничего), понятная ошибка на узбекском с номером строки/колонки</t>
        </is>
      </c>
      <c r="K20" s="27" t="inlineStr"/>
      <c r="L20" s="29" t="inlineStr">
        <is>
          <t>Да</t>
        </is>
      </c>
      <c r="M20" s="27" t="inlineStr"/>
      <c r="N20" s="29" t="inlineStr">
        <is>
          <t>Не автоматизирован</t>
        </is>
      </c>
      <c r="O20" s="27" t="inlineStr"/>
      <c r="P20" s="29" t="inlineStr">
        <is>
          <t>Не выполнен</t>
        </is>
      </c>
      <c r="Q20" s="27" t="inlineStr"/>
    </row>
    <row r="21" ht="62" customHeight="1">
      <c r="A21" s="26" t="inlineStr">
        <is>
          <t>PINC-007</t>
        </is>
      </c>
      <c r="B21" s="27" t="inlineStr">
        <is>
          <t>Приход товара (Product income)</t>
        </is>
      </c>
      <c r="C21" s="27" t="inlineStr">
        <is>
          <t>Статусы</t>
        </is>
      </c>
      <c r="D21" s="28" t="inlineStr">
        <is>
          <t>«В пути» → «Получен» → «Post»</t>
        </is>
      </c>
      <c r="E21" s="29" t="inlineStr">
        <is>
          <t>P1</t>
        </is>
      </c>
      <c r="F21" s="29" t="inlineStr">
        <is>
          <t>Smoke</t>
        </is>
      </c>
      <c r="G21" s="27" t="inlineStr">
        <is>
          <t>Вход в админку под тестовым аккаунтом (полные права); документ прихода в статусе «Создан», доставка «Yo'lda»</t>
        </is>
      </c>
      <c r="H21" s="27" t="inlineStr">
        <is>
          <t>1. Сменить Delivery Status на «Qabul qilingan»
2. Сохранить
3. «Post»</t>
        </is>
      </c>
      <c r="I21" s="27" t="inlineStr"/>
      <c r="J21" s="27" t="inlineStr">
        <is>
          <t>Post доступен только при «Получен»; после Post остаток склада увеличен на количество; Posted at заполнено; документ заблокирован для редактирования (только комментарий)</t>
        </is>
      </c>
      <c r="K21" s="27" t="inlineStr">
        <is>
          <t>PRD Kirim — qisman kelish</t>
        </is>
      </c>
      <c r="L21" s="29" t="inlineStr">
        <is>
          <t>Да</t>
        </is>
      </c>
      <c r="M21" s="27" t="inlineStr"/>
      <c r="N21" s="29" t="inlineStr">
        <is>
          <t>Не автоматизирован</t>
        </is>
      </c>
      <c r="O21" s="27" t="inlineStr"/>
      <c r="P21" s="29" t="inlineStr">
        <is>
          <t>Не выполнен</t>
        </is>
      </c>
      <c r="Q21" s="27" t="inlineStr"/>
    </row>
    <row r="22" ht="48" customHeight="1">
      <c r="A22" s="26" t="inlineStr">
        <is>
          <t>PINC-008</t>
        </is>
      </c>
      <c r="B22" s="27" t="inlineStr">
        <is>
          <t>Приход товара (Product income)</t>
        </is>
      </c>
      <c r="C22" s="27" t="inlineStr">
        <is>
          <t>Статусы</t>
        </is>
      </c>
      <c r="D22" s="28" t="inlineStr">
        <is>
          <t>Post недоступен до получения</t>
        </is>
      </c>
      <c r="E22" s="29" t="inlineStr">
        <is>
          <t>P2</t>
        </is>
      </c>
      <c r="F22" s="29" t="inlineStr">
        <is>
          <t>Negative</t>
        </is>
      </c>
      <c r="G22" s="27" t="inlineStr">
        <is>
          <t>Вход в админку под тестовым аккаунтом (полные права); документ «В пути»</t>
        </is>
      </c>
      <c r="H22" s="27" t="inlineStr">
        <is>
          <t>1. Попробовать «Post»</t>
        </is>
      </c>
      <c r="I22" s="27" t="inlineStr"/>
      <c r="J22" s="27" t="inlineStr">
        <is>
          <t>Кнопка недоступна / ошибка</t>
        </is>
      </c>
      <c r="K22" s="27" t="inlineStr"/>
      <c r="L22" s="29" t="inlineStr">
        <is>
          <t>Да</t>
        </is>
      </c>
      <c r="M22" s="27" t="inlineStr"/>
      <c r="N22" s="29" t="inlineStr">
        <is>
          <t>Не автоматизирован</t>
        </is>
      </c>
      <c r="O22" s="27" t="inlineStr"/>
      <c r="P22" s="29" t="inlineStr">
        <is>
          <t>Не выполнен</t>
        </is>
      </c>
      <c r="Q22" s="27" t="inlineStr"/>
    </row>
    <row r="23" ht="62" customHeight="1">
      <c r="A23" s="26" t="inlineStr">
        <is>
          <t>PINC-009</t>
        </is>
      </c>
      <c r="B23" s="27" t="inlineStr">
        <is>
          <t>Приход товара (Product income)</t>
        </is>
      </c>
      <c r="C23" s="27" t="inlineStr">
        <is>
          <t>Частичная приёмка</t>
        </is>
      </c>
      <c r="D23" s="28" t="inlineStr">
        <is>
          <t>Частичное поступление («Keldi»)</t>
        </is>
      </c>
      <c r="E23" s="29" t="inlineStr">
        <is>
          <t>P2</t>
        </is>
      </c>
      <c r="F23" s="29" t="inlineStr">
        <is>
          <t>Functional</t>
        </is>
      </c>
      <c r="G23" s="27" t="inlineStr">
        <is>
          <t>Вход в админку под тестовым аккаунтом (полные права); документ «Создан» + «В пути»</t>
        </is>
      </c>
      <c r="H23" s="27" t="inlineStr">
        <is>
          <t>1. Отметить строки
2. «Keldi», указать пришедшее количество (1…кол-во в документе)
3. «Qabul qilish»</t>
        </is>
      </c>
      <c r="I23" s="27" t="inlineStr"/>
      <c r="J23" s="27" t="inlineStr">
        <is>
          <t>Создан новый документ «Получен» с пришедшим количеством; в исходном остались только недошедшие; суммы совпадают; вне диапазона — ошибка, кнопка неактивна</t>
        </is>
      </c>
      <c r="K23" s="27" t="inlineStr">
        <is>
          <t>PRD Kirim — qisman kelish (AIDT-753)</t>
        </is>
      </c>
      <c r="L23" s="29" t="inlineStr">
        <is>
          <t>Да</t>
        </is>
      </c>
      <c r="M23" s="27" t="inlineStr"/>
      <c r="N23" s="29" t="inlineStr">
        <is>
          <t>Не автоматизирован</t>
        </is>
      </c>
      <c r="O23" s="27" t="inlineStr"/>
      <c r="P23" s="29" t="inlineStr">
        <is>
          <t>Не выполнен</t>
        </is>
      </c>
      <c r="Q23" s="27" t="inlineStr"/>
    </row>
    <row r="24" ht="48" customHeight="1">
      <c r="A24" s="26" t="inlineStr">
        <is>
          <t>PINC-010</t>
        </is>
      </c>
      <c r="B24" s="27" t="inlineStr">
        <is>
          <t>Приход товара (Product income)</t>
        </is>
      </c>
      <c r="C24" s="27" t="inlineStr">
        <is>
          <t>Печать</t>
        </is>
      </c>
      <c r="D24" s="28" t="inlineStr">
        <is>
          <t>Печать этикеток (Label / Check name)</t>
        </is>
      </c>
      <c r="E24" s="29" t="inlineStr">
        <is>
          <t>P3</t>
        </is>
      </c>
      <c r="F24" s="29" t="inlineStr">
        <is>
          <t>Functional</t>
        </is>
      </c>
      <c r="G24" s="27" t="inlineStr">
        <is>
          <t>Вход в админку под тестовым аккаунтом (полные права); документ прихода с товарами</t>
        </is>
      </c>
      <c r="H24" s="27" t="inlineStr">
        <is>
          <t>1. Нажать «Label» / «Print» у строки</t>
        </is>
      </c>
      <c r="I24" s="27" t="inlineStr"/>
      <c r="J24" s="27" t="inlineStr">
        <is>
          <t>Открывается печать этикетки с названием для чека (Check name)</t>
        </is>
      </c>
      <c r="K24" s="27" t="inlineStr"/>
      <c r="L24" s="29" t="inlineStr">
        <is>
          <t>Частично</t>
        </is>
      </c>
      <c r="M24" s="27" t="inlineStr">
        <is>
          <t>Печать проверяется визуально</t>
        </is>
      </c>
      <c r="N24" s="29" t="inlineStr">
        <is>
          <t>Не автоматизирован</t>
        </is>
      </c>
      <c r="O24" s="27" t="inlineStr"/>
      <c r="P24" s="29" t="inlineStr">
        <is>
          <t>Не выполнен</t>
        </is>
      </c>
      <c r="Q24" s="27" t="inlineStr"/>
    </row>
    <row r="25" ht="48" customHeight="1">
      <c r="A25" s="26" t="inlineStr">
        <is>
          <t>PINC-011</t>
        </is>
      </c>
      <c r="B25" s="27" t="inlineStr">
        <is>
          <t>Приход товара (Product income)</t>
        </is>
      </c>
      <c r="C25" s="27" t="inlineStr">
        <is>
          <t>Связи</t>
        </is>
      </c>
      <c r="D25" s="28" t="inlineStr">
        <is>
          <t>Приход закрывает запросы «Would buy»</t>
        </is>
      </c>
      <c r="E25" s="29" t="inlineStr">
        <is>
          <t>P2</t>
        </is>
      </c>
      <c r="F25" s="29" t="inlineStr">
        <is>
          <t>Integration</t>
        </is>
      </c>
      <c r="G25" s="27" t="inlineStr">
        <is>
          <t>Есть запрос «Would buy» на вариант без остатка</t>
        </is>
      </c>
      <c r="H25" s="27" t="inlineStr">
        <is>
          <t>1. Провести (Post) приход этого варианта в склад клиента
2. Открыть Requests → Would buy</t>
        </is>
      </c>
      <c r="I25" s="27" t="inlineStr"/>
      <c r="J25" s="27" t="inlineStr">
        <is>
          <t>Запрос «Tugallangan», указаны дата, исполнитель, приход</t>
        </is>
      </c>
      <c r="K25" s="27" t="inlineStr">
        <is>
          <t>PRD Bo'lsa olar edim (admin)</t>
        </is>
      </c>
      <c r="L25" s="29" t="inlineStr">
        <is>
          <t>Да</t>
        </is>
      </c>
      <c r="M25" s="27" t="inlineStr"/>
      <c r="N25" s="29" t="inlineStr">
        <is>
          <t>Не автоматизирован</t>
        </is>
      </c>
      <c r="O25" s="27" t="inlineStr"/>
      <c r="P25" s="29" t="inlineStr">
        <is>
          <t>Не выполнен</t>
        </is>
      </c>
      <c r="Q25" s="27" t="inlineStr"/>
    </row>
    <row r="26" ht="62" customHeight="1">
      <c r="A26" s="30" t="inlineStr">
        <is>
          <t>PRICE-001</t>
        </is>
      </c>
      <c r="B26" s="31" t="inlineStr">
        <is>
          <t>Установка цен (Install prices)</t>
        </is>
      </c>
      <c r="C26" s="31" t="inlineStr">
        <is>
          <t>Документ</t>
        </is>
      </c>
      <c r="D26" s="32" t="inlineStr">
        <is>
          <t>Создание документа изменения цен</t>
        </is>
      </c>
      <c r="E26" s="33" t="inlineStr">
        <is>
          <t>P1</t>
        </is>
      </c>
      <c r="F26" s="33" t="inlineStr">
        <is>
          <t>Smoke</t>
        </is>
      </c>
      <c r="G26" s="31" t="inlineStr">
        <is>
          <t>Вход в админку под тестовым аккаунтом (полные права)</t>
        </is>
      </c>
      <c r="H26" s="31" t="inlineStr">
        <is>
          <t>1. Products actions → Install prices → «Create»
2. «Add» вариант
3. Ввести New price B2B/B2C/B2M
4. «Save»</t>
        </is>
      </c>
      <c r="I26" s="31" t="inlineStr"/>
      <c r="J26" s="31" t="inlineStr">
        <is>
          <t>Документ сохранён; видны старые и новые цены по трём типам</t>
        </is>
      </c>
      <c r="K26" s="31" t="inlineStr"/>
      <c r="L26" s="33" t="inlineStr">
        <is>
          <t>Да</t>
        </is>
      </c>
      <c r="M26" s="31" t="inlineStr"/>
      <c r="N26" s="33" t="inlineStr">
        <is>
          <t>Не автоматизирован</t>
        </is>
      </c>
      <c r="O26" s="31" t="inlineStr"/>
      <c r="P26" s="33" t="inlineStr">
        <is>
          <t>Не выполнен</t>
        </is>
      </c>
      <c r="Q26" s="31" t="inlineStr"/>
    </row>
    <row r="27" ht="48" customHeight="1">
      <c r="A27" s="30" t="inlineStr">
        <is>
          <t>PRICE-002</t>
        </is>
      </c>
      <c r="B27" s="31" t="inlineStr">
        <is>
          <t>Установка цен (Install prices)</t>
        </is>
      </c>
      <c r="C27" s="31" t="inlineStr">
        <is>
          <t>Проведение</t>
        </is>
      </c>
      <c r="D27" s="32" t="inlineStr">
        <is>
          <t>Проведение (Post) обновляет цены на витрине</t>
        </is>
      </c>
      <c r="E27" s="33" t="inlineStr">
        <is>
          <t>P1</t>
        </is>
      </c>
      <c r="F27" s="33" t="inlineStr">
        <is>
          <t>Integration</t>
        </is>
      </c>
      <c r="G27" s="31" t="inlineStr">
        <is>
          <t>Вход в админку под тестовым аккаунтом (полные права); сохранён документ цен</t>
        </is>
      </c>
      <c r="H27" s="31" t="inlineStr">
        <is>
          <t>1. «Post»
2. Открыть товар на витрине под клиентом и мастером</t>
        </is>
      </c>
      <c r="I27" s="31" t="inlineStr"/>
      <c r="J27" s="31" t="inlineStr">
        <is>
          <t>Posted date заполнена; витрина показывает новые B2C (клиент) и B2M (мастер)</t>
        </is>
      </c>
      <c r="K27" s="31" t="inlineStr"/>
      <c r="L27" s="33" t="inlineStr">
        <is>
          <t>Да</t>
        </is>
      </c>
      <c r="M27" s="31" t="inlineStr"/>
      <c r="N27" s="33" t="inlineStr">
        <is>
          <t>Не автоматизирован</t>
        </is>
      </c>
      <c r="O27" s="31" t="inlineStr"/>
      <c r="P27" s="33" t="inlineStr">
        <is>
          <t>Не выполнен</t>
        </is>
      </c>
      <c r="Q27" s="31" t="inlineStr"/>
    </row>
    <row r="28" ht="34" customHeight="1">
      <c r="A28" s="30" t="inlineStr">
        <is>
          <t>PRICE-003</t>
        </is>
      </c>
      <c r="B28" s="31" t="inlineStr">
        <is>
          <t>Установка цен (Install prices)</t>
        </is>
      </c>
      <c r="C28" s="31" t="inlineStr">
        <is>
          <t>Валидация</t>
        </is>
      </c>
      <c r="D28" s="32" t="inlineStr">
        <is>
          <t>Пустая или нулевая новая цена</t>
        </is>
      </c>
      <c r="E28" s="33" t="inlineStr">
        <is>
          <t>P2</t>
        </is>
      </c>
      <c r="F28" s="33" t="inlineStr">
        <is>
          <t>Negative</t>
        </is>
      </c>
      <c r="G28" s="31" t="inlineStr">
        <is>
          <t>Вход в админку под тестовым аккаунтом (полные права)</t>
        </is>
      </c>
      <c r="H28" s="31" t="inlineStr">
        <is>
          <t>1. Оставить New price пустой или 0
2. «Save»</t>
        </is>
      </c>
      <c r="I28" s="31" t="inlineStr"/>
      <c r="J28" s="31" t="inlineStr">
        <is>
          <t>Сохранение заблокировано с ошибкой</t>
        </is>
      </c>
      <c r="K28" s="31" t="inlineStr"/>
      <c r="L28" s="33" t="inlineStr">
        <is>
          <t>Да</t>
        </is>
      </c>
      <c r="M28" s="31" t="inlineStr"/>
      <c r="N28" s="33" t="inlineStr">
        <is>
          <t>Не автоматизирован</t>
        </is>
      </c>
      <c r="O28" s="31" t="inlineStr"/>
      <c r="P28" s="33" t="inlineStr">
        <is>
          <t>Не выполнен</t>
        </is>
      </c>
      <c r="Q28" s="31" t="inlineStr"/>
    </row>
    <row r="29" ht="34" customHeight="1">
      <c r="A29" s="30" t="inlineStr">
        <is>
          <t>PRICE-004</t>
        </is>
      </c>
      <c r="B29" s="31" t="inlineStr">
        <is>
          <t>Установка цен (Install prices)</t>
        </is>
      </c>
      <c r="C29" s="31" t="inlineStr">
        <is>
          <t>Список</t>
        </is>
      </c>
      <c r="D29" s="32" t="inlineStr">
        <is>
          <t>Список документов цен</t>
        </is>
      </c>
      <c r="E29" s="33" t="inlineStr">
        <is>
          <t>P3</t>
        </is>
      </c>
      <c r="F29" s="33" t="inlineStr">
        <is>
          <t>UI</t>
        </is>
      </c>
      <c r="G29" s="31" t="inlineStr">
        <is>
          <t>Вход в админку под тестовым аккаунтом (полные права)</t>
        </is>
      </c>
      <c r="H29" s="31" t="inlineStr">
        <is>
          <t>1. Открыть Install prices
2. Поиск, пагинация</t>
        </is>
      </c>
      <c r="I29" s="31" t="inlineStr"/>
      <c r="J29" s="31" t="inlineStr">
        <is>
          <t>Колонки Id, Created date, Posted date; пагинация работает</t>
        </is>
      </c>
      <c r="K29" s="31" t="inlineStr"/>
      <c r="L29" s="33" t="inlineStr">
        <is>
          <t>Да</t>
        </is>
      </c>
      <c r="M29" s="31" t="inlineStr"/>
      <c r="N29" s="33" t="inlineStr">
        <is>
          <t>Не автоматизирован</t>
        </is>
      </c>
      <c r="O29" s="31" t="inlineStr"/>
      <c r="P29" s="33" t="inlineStr">
        <is>
          <t>Не выполнен</t>
        </is>
      </c>
      <c r="Q29" s="31" t="inlineStr"/>
    </row>
    <row r="30" ht="62" customHeight="1">
      <c r="A30" s="26" t="inlineStr">
        <is>
          <t>INV-001</t>
        </is>
      </c>
      <c r="B30" s="27" t="inlineStr">
        <is>
          <t>Инвентаризация</t>
        </is>
      </c>
      <c r="C30" s="27" t="inlineStr">
        <is>
          <t>Создание</t>
        </is>
      </c>
      <c r="D30" s="28" t="inlineStr">
        <is>
          <t>Запуск инвентаризации</t>
        </is>
      </c>
      <c r="E30" s="29" t="inlineStr">
        <is>
          <t>P1</t>
        </is>
      </c>
      <c r="F30" s="29" t="inlineStr">
        <is>
          <t>Smoke</t>
        </is>
      </c>
      <c r="G30" s="27" t="inlineStr">
        <is>
          <t>Вход в админку под тестовым аккаунтом (полные права); на складе нет активной инвентаризации</t>
        </is>
      </c>
      <c r="H30" s="27" t="inlineStr">
        <is>
          <t>1. Products actions → Inventory → «Create»
2. Warehouse, Type (Offline/Online)
3. «Start»</t>
        </is>
      </c>
      <c r="I30" s="27" t="inlineStr"/>
      <c r="J30" s="27" t="inlineStr">
        <is>
          <t>Документ создан; склад в режиме инвентаризации (заморожен) вместе со складом брака</t>
        </is>
      </c>
      <c r="K30" s="27" t="inlineStr"/>
      <c r="L30" s="29" t="inlineStr">
        <is>
          <t>Да</t>
        </is>
      </c>
      <c r="M30" s="27" t="inlineStr"/>
      <c r="N30" s="29" t="inlineStr">
        <is>
          <t>Не автоматизирован</t>
        </is>
      </c>
      <c r="O30" s="27" t="inlineStr"/>
      <c r="P30" s="29" t="inlineStr">
        <is>
          <t>Не выполнен</t>
        </is>
      </c>
      <c r="Q30" s="27" t="inlineStr"/>
    </row>
    <row r="31" ht="48" customHeight="1">
      <c r="A31" s="26" t="inlineStr">
        <is>
          <t>INV-002</t>
        </is>
      </c>
      <c r="B31" s="27" t="inlineStr">
        <is>
          <t>Инвентаризация</t>
        </is>
      </c>
      <c r="C31" s="27" t="inlineStr">
        <is>
          <t>Ограничения</t>
        </is>
      </c>
      <c r="D31" s="28" t="inlineStr">
        <is>
          <t>Вторая инвентаризация на том же складе</t>
        </is>
      </c>
      <c r="E31" s="29" t="inlineStr">
        <is>
          <t>P1</t>
        </is>
      </c>
      <c r="F31" s="29" t="inlineStr">
        <is>
          <t>Negative</t>
        </is>
      </c>
      <c r="G31" s="27" t="inlineStr">
        <is>
          <t>Вход в админку под тестовым аккаунтом (полные права); на складе активная инвентаризация</t>
        </is>
      </c>
      <c r="H31" s="27" t="inlineStr">
        <is>
          <t>1. Запустить ещё одну на этот склад</t>
        </is>
      </c>
      <c r="I31" s="27" t="inlineStr"/>
      <c r="J31" s="27" t="inlineStr">
        <is>
          <t>Блок с ошибкой; на другом складе запуск разрешён</t>
        </is>
      </c>
      <c r="K31" s="27" t="inlineStr">
        <is>
          <t>PRD Inventory</t>
        </is>
      </c>
      <c r="L31" s="29" t="inlineStr">
        <is>
          <t>Да</t>
        </is>
      </c>
      <c r="M31" s="27" t="inlineStr"/>
      <c r="N31" s="29" t="inlineStr">
        <is>
          <t>Не автоматизирован</t>
        </is>
      </c>
      <c r="O31" s="27" t="inlineStr"/>
      <c r="P31" s="29" t="inlineStr">
        <is>
          <t>Не выполнен</t>
        </is>
      </c>
      <c r="Q31" s="27" t="inlineStr"/>
    </row>
    <row r="32" ht="48" customHeight="1">
      <c r="A32" s="26" t="inlineStr">
        <is>
          <t>INV-003</t>
        </is>
      </c>
      <c r="B32" s="27" t="inlineStr">
        <is>
          <t>Инвентаризация</t>
        </is>
      </c>
      <c r="C32" s="27" t="inlineStr">
        <is>
          <t>Ограничения</t>
        </is>
      </c>
      <c r="D32" s="28" t="inlineStr">
        <is>
          <t>Операции на складе во время инвентаризации</t>
        </is>
      </c>
      <c r="E32" s="29" t="inlineStr">
        <is>
          <t>P1</t>
        </is>
      </c>
      <c r="F32" s="29" t="inlineStr">
        <is>
          <t>Negative</t>
        </is>
      </c>
      <c r="G32" s="27" t="inlineStr">
        <is>
          <t>Вход в админку под тестовым аккаунтом (полные права); склад в режиме инвентаризации</t>
        </is>
      </c>
      <c r="H32" s="27" t="inlineStr">
        <is>
          <t>1. Попробовать отправить перемещение / провести приход на этот склад</t>
        </is>
      </c>
      <c r="I32" s="27" t="inlineStr"/>
      <c r="J32" s="27" t="inlineStr">
        <is>
          <t>Операции блокируются с понятной ошибкой</t>
        </is>
      </c>
      <c r="K32" s="27" t="inlineStr"/>
      <c r="L32" s="29" t="inlineStr">
        <is>
          <t>Частично</t>
        </is>
      </c>
      <c r="M32" s="27" t="inlineStr"/>
      <c r="N32" s="29" t="inlineStr">
        <is>
          <t>Не автоматизирован</t>
        </is>
      </c>
      <c r="O32" s="27" t="inlineStr"/>
      <c r="P32" s="29" t="inlineStr">
        <is>
          <t>Не выполнен</t>
        </is>
      </c>
      <c r="Q32" s="27" t="inlineStr"/>
    </row>
    <row r="33" ht="62" customHeight="1">
      <c r="A33" s="26" t="inlineStr">
        <is>
          <t>INV-004</t>
        </is>
      </c>
      <c r="B33" s="27" t="inlineStr">
        <is>
          <t>Инвентаризация</t>
        </is>
      </c>
      <c r="C33" s="27" t="inlineStr">
        <is>
          <t>Открытые документы</t>
        </is>
      </c>
      <c r="D33" s="28" t="inlineStr">
        <is>
          <t>Окно открытых документов перед стартом</t>
        </is>
      </c>
      <c r="E33" s="29" t="inlineStr">
        <is>
          <t>P2</t>
        </is>
      </c>
      <c r="F33" s="29" t="inlineStr">
        <is>
          <t>Functional</t>
        </is>
      </c>
      <c r="G33" s="27" t="inlineStr">
        <is>
          <t>Вход в админку под тестовым аккаунтом (полные права); у склада есть перемещения «Создан/Готов/В пути/Возвращён»</t>
        </is>
      </c>
      <c r="H33" s="27" t="inlineStr">
        <is>
          <t>1. Запустить инвентаризацию</t>
        </is>
      </c>
      <c r="I33" s="27" t="inlineStr"/>
      <c r="J33" s="27" t="inlineStr">
        <is>
          <t>Показано окно открытых документов; возвращённые не блокируют</t>
        </is>
      </c>
      <c r="K33" s="27" t="inlineStr"/>
      <c r="L33" s="29" t="inlineStr">
        <is>
          <t>Частично</t>
        </is>
      </c>
      <c r="M33" s="27" t="inlineStr"/>
      <c r="N33" s="29" t="inlineStr">
        <is>
          <t>Не автоматизирован</t>
        </is>
      </c>
      <c r="O33" s="27" t="inlineStr"/>
      <c r="P33" s="29" t="inlineStr">
        <is>
          <t>Не выполнен</t>
        </is>
      </c>
      <c r="Q33" s="27" t="inlineStr"/>
    </row>
    <row r="34" ht="48" customHeight="1">
      <c r="A34" s="26" t="inlineStr">
        <is>
          <t>INV-005</t>
        </is>
      </c>
      <c r="B34" s="27" t="inlineStr">
        <is>
          <t>Инвентаризация</t>
        </is>
      </c>
      <c r="C34" s="27" t="inlineStr">
        <is>
          <t>Excel</t>
        </is>
      </c>
      <c r="D34" s="28" t="inlineStr">
        <is>
          <t>Скачивание и загрузка Excel</t>
        </is>
      </c>
      <c r="E34" s="29" t="inlineStr">
        <is>
          <t>P1</t>
        </is>
      </c>
      <c r="F34" s="29" t="inlineStr">
        <is>
          <t>Functional</t>
        </is>
      </c>
      <c r="G34" s="27" t="inlineStr">
        <is>
          <t>Вход в админку под тестовым аккаунтом (полные права); активная инвентаризация</t>
        </is>
      </c>
      <c r="H34" s="27" t="inlineStr">
        <is>
          <t>1. «Download»
2. Заполнить факт
3. Загрузить файл</t>
        </is>
      </c>
      <c r="I34" s="27" t="inlineStr"/>
      <c r="J34" s="27" t="inlineStr">
        <is>
          <t>Excel содержит остатки и колонки движений (в т.ч. Transfer Yaratilgan / Tayyorlandi / Yo'lda / Transfer return); загрузка валидирует данные</t>
        </is>
      </c>
      <c r="K34" s="27" t="inlineStr"/>
      <c r="L34" s="29" t="inlineStr">
        <is>
          <t>Да</t>
        </is>
      </c>
      <c r="M34" s="27" t="inlineStr"/>
      <c r="N34" s="29" t="inlineStr">
        <is>
          <t>Не автоматизирован</t>
        </is>
      </c>
      <c r="O34" s="27" t="inlineStr"/>
      <c r="P34" s="29" t="inlineStr">
        <is>
          <t>Не выполнен</t>
        </is>
      </c>
      <c r="Q34" s="27" t="inlineStr"/>
    </row>
    <row r="35" ht="34" customHeight="1">
      <c r="A35" s="26" t="inlineStr">
        <is>
          <t>INV-006</t>
        </is>
      </c>
      <c r="B35" s="27" t="inlineStr">
        <is>
          <t>Инвентаризация</t>
        </is>
      </c>
      <c r="C35" s="27" t="inlineStr">
        <is>
          <t>Excel</t>
        </is>
      </c>
      <c r="D35" s="28" t="inlineStr">
        <is>
          <t>Загрузка некорректного файла</t>
        </is>
      </c>
      <c r="E35" s="29" t="inlineStr">
        <is>
          <t>P2</t>
        </is>
      </c>
      <c r="F35" s="29" t="inlineStr">
        <is>
          <t>Negative</t>
        </is>
      </c>
      <c r="G35" s="27" t="inlineStr">
        <is>
          <t>Вход в админку под тестовым аккаунтом (полные права)</t>
        </is>
      </c>
      <c r="H35" s="27" t="inlineStr">
        <is>
          <t>1. Загрузить файл чужого склада / с буквами в количестве</t>
        </is>
      </c>
      <c r="I35" s="27" t="inlineStr"/>
      <c r="J35" s="27" t="inlineStr">
        <is>
          <t>Ошибка валидации, данные не изменены</t>
        </is>
      </c>
      <c r="K35" s="27" t="inlineStr"/>
      <c r="L35" s="29" t="inlineStr">
        <is>
          <t>Да</t>
        </is>
      </c>
      <c r="M35" s="27" t="inlineStr"/>
      <c r="N35" s="29" t="inlineStr">
        <is>
          <t>Не автоматизирован</t>
        </is>
      </c>
      <c r="O35" s="27" t="inlineStr"/>
      <c r="P35" s="29" t="inlineStr">
        <is>
          <t>Не выполнен</t>
        </is>
      </c>
      <c r="Q35" s="27" t="inlineStr"/>
    </row>
    <row r="36" ht="48" customHeight="1">
      <c r="A36" s="26" t="inlineStr">
        <is>
          <t>INV-007</t>
        </is>
      </c>
      <c r="B36" s="27" t="inlineStr">
        <is>
          <t>Инвентаризация</t>
        </is>
      </c>
      <c r="C36" s="27" t="inlineStr">
        <is>
          <t>Online</t>
        </is>
      </c>
      <c r="D36" s="28" t="inlineStr">
        <is>
          <t>Online-инвентаризация: пустые строки пропускаются</t>
        </is>
      </c>
      <c r="E36" s="29" t="inlineStr">
        <is>
          <t>P2</t>
        </is>
      </c>
      <c r="F36" s="29" t="inlineStr">
        <is>
          <t>Functional</t>
        </is>
      </c>
      <c r="G36" s="27" t="inlineStr">
        <is>
          <t>Вход в админку под тестовым аккаунтом (полные права)</t>
        </is>
      </c>
      <c r="H36" s="27" t="inlineStr">
        <is>
          <t>1. Тип Online
2. Заполнить факт только по 2 строкам
3. Провести</t>
        </is>
      </c>
      <c r="I36" s="27" t="inlineStr"/>
      <c r="J36" s="27" t="inlineStr">
        <is>
          <t>Изменены только заполненные строки; по пустым нет движений</t>
        </is>
      </c>
      <c r="K36" s="27" t="inlineStr"/>
      <c r="L36" s="29" t="inlineStr">
        <is>
          <t>Да</t>
        </is>
      </c>
      <c r="M36" s="27" t="inlineStr"/>
      <c r="N36" s="29" t="inlineStr">
        <is>
          <t>Не автоматизирован</t>
        </is>
      </c>
      <c r="O36" s="27" t="inlineStr"/>
      <c r="P36" s="29" t="inlineStr">
        <is>
          <t>Не выполнен</t>
        </is>
      </c>
      <c r="Q36" s="27" t="inlineStr"/>
    </row>
    <row r="37" ht="48" customHeight="1">
      <c r="A37" s="26" t="inlineStr">
        <is>
          <t>INV-008</t>
        </is>
      </c>
      <c r="B37" s="27" t="inlineStr">
        <is>
          <t>Инвентаризация</t>
        </is>
      </c>
      <c r="C37" s="27" t="inlineStr">
        <is>
          <t>Проведение</t>
        </is>
      </c>
      <c r="D37" s="28" t="inlineStr">
        <is>
          <t>Проведение инвентаризации</t>
        </is>
      </c>
      <c r="E37" s="29" t="inlineStr">
        <is>
          <t>P1</t>
        </is>
      </c>
      <c r="F37" s="29" t="inlineStr">
        <is>
          <t>Functional</t>
        </is>
      </c>
      <c r="G37" s="27" t="inlineStr">
        <is>
          <t>Вход в админку под тестовым аккаунтом (полные права); файл загружен</t>
        </is>
      </c>
      <c r="H37" s="27" t="inlineStr">
        <is>
          <t>1. Провести (Post)</t>
        </is>
      </c>
      <c r="I37" s="27" t="inlineStr"/>
      <c r="J37" s="27" t="inlineStr">
        <is>
          <t>Остатки = факт; история движения записана; склад разморожен; статус «Проведён»</t>
        </is>
      </c>
      <c r="K37" s="27" t="inlineStr"/>
      <c r="L37" s="29" t="inlineStr">
        <is>
          <t>Да</t>
        </is>
      </c>
      <c r="M37" s="27" t="inlineStr"/>
      <c r="N37" s="29" t="inlineStr">
        <is>
          <t>Не автоматизирован</t>
        </is>
      </c>
      <c r="O37" s="27" t="inlineStr"/>
      <c r="P37" s="29" t="inlineStr">
        <is>
          <t>Не выполнен</t>
        </is>
      </c>
      <c r="Q37" s="27" t="inlineStr"/>
    </row>
    <row r="38" ht="48" customHeight="1">
      <c r="A38" s="30" t="inlineStr">
        <is>
          <t>TRF-001</t>
        </is>
      </c>
      <c r="B38" s="31" t="inlineStr">
        <is>
          <t>Перемещение товара (Transfer)</t>
        </is>
      </c>
      <c r="C38" s="31" t="inlineStr">
        <is>
          <t>Список</t>
        </is>
      </c>
      <c r="D38" s="32" t="inlineStr">
        <is>
          <t>Список перемещений и вкладки</t>
        </is>
      </c>
      <c r="E38" s="33" t="inlineStr">
        <is>
          <t>P2</t>
        </is>
      </c>
      <c r="F38" s="33" t="inlineStr">
        <is>
          <t>Functional</t>
        </is>
      </c>
      <c r="G38" s="31" t="inlineStr">
        <is>
          <t>Вход в админку под тестовым аккаунтом (полные права)</t>
        </is>
      </c>
      <c r="H38" s="31" t="inlineStr">
        <is>
          <t>1. Products actions → Product transfer
2. Вкладки All / Transfer / Request</t>
        </is>
      </c>
      <c r="I38" s="31" t="inlineStr"/>
      <c r="J38" s="31" t="inlineStr">
        <is>
          <t>Колонки ID, Type, Created, From, To, Price, Sent, Received, Comment, Status; вкладки фильтруют по типу</t>
        </is>
      </c>
      <c r="K38" s="31" t="inlineStr"/>
      <c r="L38" s="33" t="inlineStr">
        <is>
          <t>Да</t>
        </is>
      </c>
      <c r="M38" s="31" t="inlineStr"/>
      <c r="N38" s="33" t="inlineStr">
        <is>
          <t>Не автоматизирован</t>
        </is>
      </c>
      <c r="O38" s="31" t="inlineStr"/>
      <c r="P38" s="33" t="inlineStr">
        <is>
          <t>Не выполнен</t>
        </is>
      </c>
      <c r="Q38" s="31" t="inlineStr"/>
    </row>
    <row r="39" ht="48" customHeight="1">
      <c r="A39" s="30" t="inlineStr">
        <is>
          <t>TRF-002</t>
        </is>
      </c>
      <c r="B39" s="31" t="inlineStr">
        <is>
          <t>Перемещение товара (Transfer)</t>
        </is>
      </c>
      <c r="C39" s="31" t="inlineStr">
        <is>
          <t>Перемещение</t>
        </is>
      </c>
      <c r="D39" s="32" t="inlineStr">
        <is>
          <t>Создание перемещения</t>
        </is>
      </c>
      <c r="E39" s="33" t="inlineStr">
        <is>
          <t>P1</t>
        </is>
      </c>
      <c r="F39" s="33" t="inlineStr">
        <is>
          <t>Smoke</t>
        </is>
      </c>
      <c r="G39" s="31" t="inlineStr">
        <is>
          <t>Вход в админку под тестовым аккаунтом (полные права)</t>
        </is>
      </c>
      <c r="H39" s="31" t="inlineStr">
        <is>
          <t>1. Создать перемещение: склад-отправитель (свой), получатель, товары и кол-во
2. Сохранить</t>
        </is>
      </c>
      <c r="I39" s="31" t="inlineStr"/>
      <c r="J39" s="31" t="inlineStr">
        <is>
          <t>Статус «Создан»; остаток отправителя зарезервирован (показан свободный остаток + резерв документа)</t>
        </is>
      </c>
      <c r="K39" s="31" t="inlineStr">
        <is>
          <t>PRD Product Transfer</t>
        </is>
      </c>
      <c r="L39" s="33" t="inlineStr">
        <is>
          <t>Да</t>
        </is>
      </c>
      <c r="M39" s="31" t="inlineStr"/>
      <c r="N39" s="33" t="inlineStr">
        <is>
          <t>Не автоматизирован</t>
        </is>
      </c>
      <c r="O39" s="31" t="inlineStr"/>
      <c r="P39" s="33" t="inlineStr">
        <is>
          <t>Не выполнен</t>
        </is>
      </c>
      <c r="Q39" s="31" t="inlineStr"/>
    </row>
    <row r="40" ht="48" customHeight="1">
      <c r="A40" s="30" t="inlineStr">
        <is>
          <t>TRF-003</t>
        </is>
      </c>
      <c r="B40" s="31" t="inlineStr">
        <is>
          <t>Перемещение товара (Transfer)</t>
        </is>
      </c>
      <c r="C40" s="31" t="inlineStr">
        <is>
          <t>Перемещение</t>
        </is>
      </c>
      <c r="D40" s="32" t="inlineStr">
        <is>
          <t>Отправка и приёмка</t>
        </is>
      </c>
      <c r="E40" s="33" t="inlineStr">
        <is>
          <t>P1</t>
        </is>
      </c>
      <c r="F40" s="33" t="inlineStr">
        <is>
          <t>Smoke</t>
        </is>
      </c>
      <c r="G40" s="31" t="inlineStr">
        <is>
          <t>Перемещение «Создан»</t>
        </is>
      </c>
      <c r="H40" s="31" t="inlineStr">
        <is>
          <t>1. Отправитель: «Отправить»
2. Получатель: «Принять»</t>
        </is>
      </c>
      <c r="I40" s="31" t="inlineStr"/>
      <c r="J40" s="31" t="inlineStr">
        <is>
          <t>«В пути» → «Получено»; товар списан у отправителя и добавлен получателю; даты отправки/получения заполнены</t>
        </is>
      </c>
      <c r="K40" s="31" t="inlineStr"/>
      <c r="L40" s="33" t="inlineStr">
        <is>
          <t>Да</t>
        </is>
      </c>
      <c r="M40" s="31" t="inlineStr"/>
      <c r="N40" s="33" t="inlineStr">
        <is>
          <t>Не автоматизирован</t>
        </is>
      </c>
      <c r="O40" s="31" t="inlineStr"/>
      <c r="P40" s="33" t="inlineStr">
        <is>
          <t>Не выполнен</t>
        </is>
      </c>
      <c r="Q40" s="31" t="inlineStr"/>
    </row>
    <row r="41" ht="34" customHeight="1">
      <c r="A41" s="30" t="inlineStr">
        <is>
          <t>TRF-004</t>
        </is>
      </c>
      <c r="B41" s="31" t="inlineStr">
        <is>
          <t>Перемещение товара (Transfer)</t>
        </is>
      </c>
      <c r="C41" s="31" t="inlineStr">
        <is>
          <t>Перемещение</t>
        </is>
      </c>
      <c r="D41" s="32" t="inlineStr">
        <is>
          <t>Возврат перемещения и повторная отправка</t>
        </is>
      </c>
      <c r="E41" s="33" t="inlineStr">
        <is>
          <t>P2</t>
        </is>
      </c>
      <c r="F41" s="33" t="inlineStr">
        <is>
          <t>Functional</t>
        </is>
      </c>
      <c r="G41" s="31" t="inlineStr">
        <is>
          <t>Перемещение «В пути»</t>
        </is>
      </c>
      <c r="H41" s="31" t="inlineStr">
        <is>
          <t>1. Получатель: «Вернуть»
2. Отправитель редактирует и отправляет снова</t>
        </is>
      </c>
      <c r="I41" s="31" t="inlineStr"/>
      <c r="J41" s="31" t="inlineStr">
        <is>
          <t>«Возвращён» → снова «В пути»; получатель в «Возвращён» только смотрит</t>
        </is>
      </c>
      <c r="K41" s="31" t="inlineStr"/>
      <c r="L41" s="33" t="inlineStr">
        <is>
          <t>Да</t>
        </is>
      </c>
      <c r="M41" s="31" t="inlineStr"/>
      <c r="N41" s="33" t="inlineStr">
        <is>
          <t>Не автоматизирован</t>
        </is>
      </c>
      <c r="O41" s="31" t="inlineStr"/>
      <c r="P41" s="33" t="inlineStr">
        <is>
          <t>Не выполнен</t>
        </is>
      </c>
      <c r="Q41" s="31" t="inlineStr"/>
    </row>
    <row r="42" ht="34" customHeight="1">
      <c r="A42" s="30" t="inlineStr">
        <is>
          <t>TRF-005</t>
        </is>
      </c>
      <c r="B42" s="31" t="inlineStr">
        <is>
          <t>Перемещение товара (Transfer)</t>
        </is>
      </c>
      <c r="C42" s="31" t="inlineStr">
        <is>
          <t>Перемещение</t>
        </is>
      </c>
      <c r="D42" s="32" t="inlineStr">
        <is>
          <t>Отмена перемещения</t>
        </is>
      </c>
      <c r="E42" s="33" t="inlineStr">
        <is>
          <t>P1</t>
        </is>
      </c>
      <c r="F42" s="33" t="inlineStr">
        <is>
          <t>Functional</t>
        </is>
      </c>
      <c r="G42" s="31" t="inlineStr">
        <is>
          <t>Перемещение «Создан»</t>
        </is>
      </c>
      <c r="H42" s="31" t="inlineStr">
        <is>
          <t>1. «Отменить»</t>
        </is>
      </c>
      <c r="I42" s="31" t="inlineStr"/>
      <c r="J42" s="31" t="inlineStr">
        <is>
          <t>Статус «Отменён», резерв возвращён на склад-отправитель</t>
        </is>
      </c>
      <c r="K42" s="31" t="inlineStr"/>
      <c r="L42" s="33" t="inlineStr">
        <is>
          <t>Да</t>
        </is>
      </c>
      <c r="M42" s="31" t="inlineStr"/>
      <c r="N42" s="33" t="inlineStr">
        <is>
          <t>Не автоматизирован</t>
        </is>
      </c>
      <c r="O42" s="31" t="inlineStr"/>
      <c r="P42" s="33" t="inlineStr">
        <is>
          <t>Не выполнен</t>
        </is>
      </c>
      <c r="Q42" s="31" t="inlineStr"/>
    </row>
    <row r="43" ht="34" customHeight="1">
      <c r="A43" s="30" t="inlineStr">
        <is>
          <t>TRF-006</t>
        </is>
      </c>
      <c r="B43" s="31" t="inlineStr">
        <is>
          <t>Перемещение товара (Transfer)</t>
        </is>
      </c>
      <c r="C43" s="31" t="inlineStr">
        <is>
          <t>Права</t>
        </is>
      </c>
      <c r="D43" s="32" t="inlineStr">
        <is>
          <t>Отправитель только со своего склада</t>
        </is>
      </c>
      <c r="E43" s="33" t="inlineStr">
        <is>
          <t>P1</t>
        </is>
      </c>
      <c r="F43" s="33" t="inlineStr">
        <is>
          <t>Security</t>
        </is>
      </c>
      <c r="G43" s="31" t="inlineStr">
        <is>
          <t>Пользователь привязан к складу A</t>
        </is>
      </c>
      <c r="H43" s="31" t="inlineStr">
        <is>
          <t>1. Создать перемещение</t>
        </is>
      </c>
      <c r="I43" s="31" t="inlineStr"/>
      <c r="J43" s="31" t="inlineStr">
        <is>
          <t>В отправителе доступен только склад A; получатель не может редактировать/отправлять</t>
        </is>
      </c>
      <c r="K43" s="31" t="inlineStr">
        <is>
          <t>PRD Transfer permission</t>
        </is>
      </c>
      <c r="L43" s="33" t="inlineStr">
        <is>
          <t>Частично</t>
        </is>
      </c>
      <c r="M43" s="31" t="inlineStr">
        <is>
          <t>Нужен аккаунт продавца</t>
        </is>
      </c>
      <c r="N43" s="33" t="inlineStr">
        <is>
          <t>Не автоматизирован</t>
        </is>
      </c>
      <c r="O43" s="31" t="inlineStr"/>
      <c r="P43" s="33" t="inlineStr">
        <is>
          <t>Не выполнен</t>
        </is>
      </c>
      <c r="Q43" s="31" t="inlineStr"/>
    </row>
    <row r="44" ht="48" customHeight="1">
      <c r="A44" s="30" t="inlineStr">
        <is>
          <t>TRF-007</t>
        </is>
      </c>
      <c r="B44" s="31" t="inlineStr">
        <is>
          <t>Перемещение товара (Transfer)</t>
        </is>
      </c>
      <c r="C44" s="31" t="inlineStr">
        <is>
          <t>Запрос</t>
        </is>
      </c>
      <c r="D44" s="32" t="inlineStr">
        <is>
          <t>Запрос товара (Request)</t>
        </is>
      </c>
      <c r="E44" s="33" t="inlineStr">
        <is>
          <t>P1</t>
        </is>
      </c>
      <c r="F44" s="33" t="inlineStr">
        <is>
          <t>Functional</t>
        </is>
      </c>
      <c r="G44" s="31" t="inlineStr">
        <is>
          <t>Пользователь склада-получателя</t>
        </is>
      </c>
      <c r="H44" s="31" t="inlineStr">
        <is>
          <t>1. «Создать запрос»: склад-владелец, товары, кол-во
2. Владелец одобряет и отправляет
3. Получатель принимает</t>
        </is>
      </c>
      <c r="I44" s="31" t="inlineStr"/>
      <c r="J44" s="31" t="inlineStr">
        <is>
          <t>Черновик → Запрошен → (одобрение) Создан → В пути → Получено; колонка «Запрошено» сохранена; бейдж «So'rov»</t>
        </is>
      </c>
      <c r="K44" s="31" t="inlineStr"/>
      <c r="L44" s="33" t="inlineStr">
        <is>
          <t>Да</t>
        </is>
      </c>
      <c r="M44" s="31" t="inlineStr"/>
      <c r="N44" s="33" t="inlineStr">
        <is>
          <t>Не автоматизирован</t>
        </is>
      </c>
      <c r="O44" s="31" t="inlineStr"/>
      <c r="P44" s="33" t="inlineStr">
        <is>
          <t>Не выполнен</t>
        </is>
      </c>
      <c r="Q44" s="31" t="inlineStr"/>
    </row>
    <row r="45" ht="34" customHeight="1">
      <c r="A45" s="30" t="inlineStr">
        <is>
          <t>TRF-008</t>
        </is>
      </c>
      <c r="B45" s="31" t="inlineStr">
        <is>
          <t>Перемещение товара (Transfer)</t>
        </is>
      </c>
      <c r="C45" s="31" t="inlineStr">
        <is>
          <t>Запрос</t>
        </is>
      </c>
      <c r="D45" s="32" t="inlineStr">
        <is>
          <t>Отклонение от запрошенного кол-ва требует причину</t>
        </is>
      </c>
      <c r="E45" s="33" t="inlineStr">
        <is>
          <t>P2</t>
        </is>
      </c>
      <c r="F45" s="33" t="inlineStr">
        <is>
          <t>Negative</t>
        </is>
      </c>
      <c r="G45" s="31" t="inlineStr">
        <is>
          <t>Запрос на 10 шт</t>
        </is>
      </c>
      <c r="H45" s="31" t="inlineStr">
        <is>
          <t>1. При одобрении указать 7 шт без причины
2. Указать причину</t>
        </is>
      </c>
      <c r="I45" s="31" t="inlineStr"/>
      <c r="J45" s="31" t="inlineStr">
        <is>
          <t>Без причины сохранить нельзя; с причиной — ок</t>
        </is>
      </c>
      <c r="K45" s="31" t="inlineStr"/>
      <c r="L45" s="33" t="inlineStr">
        <is>
          <t>Да</t>
        </is>
      </c>
      <c r="M45" s="31" t="inlineStr"/>
      <c r="N45" s="33" t="inlineStr">
        <is>
          <t>Не автоматизирован</t>
        </is>
      </c>
      <c r="O45" s="31" t="inlineStr"/>
      <c r="P45" s="33" t="inlineStr">
        <is>
          <t>Не выполнен</t>
        </is>
      </c>
      <c r="Q45" s="31" t="inlineStr"/>
    </row>
    <row r="46" ht="34" customHeight="1">
      <c r="A46" s="30" t="inlineStr">
        <is>
          <t>TRF-009</t>
        </is>
      </c>
      <c r="B46" s="31" t="inlineStr">
        <is>
          <t>Перемещение товара (Transfer)</t>
        </is>
      </c>
      <c r="C46" s="31" t="inlineStr">
        <is>
          <t>Уведомления</t>
        </is>
      </c>
      <c r="D46" s="32" t="inlineStr">
        <is>
          <t>Уведомления о перемещениях в колокольчике</t>
        </is>
      </c>
      <c r="E46" s="33" t="inlineStr">
        <is>
          <t>P3</t>
        </is>
      </c>
      <c r="F46" s="33" t="inlineStr">
        <is>
          <t>Functional</t>
        </is>
      </c>
      <c r="G46" s="31" t="inlineStr">
        <is>
          <t>Два пользователя разных складов</t>
        </is>
      </c>
      <c r="H46" s="31" t="inlineStr">
        <is>
          <t>1. Отправить перемещение
2. Вернуть его</t>
        </is>
      </c>
      <c r="I46" s="31" t="inlineStr"/>
      <c r="J46" s="31" t="inlineStr">
        <is>
          <t>Получатель получает «Отправлено», отправитель — «Возвращено»; созданное вручную не шлёт «Создано»</t>
        </is>
      </c>
      <c r="K46" s="31" t="inlineStr">
        <is>
          <t>PRD Transfer Notifications</t>
        </is>
      </c>
      <c r="L46" s="33" t="inlineStr">
        <is>
          <t>Частично</t>
        </is>
      </c>
      <c r="M46" s="31" t="inlineStr"/>
      <c r="N46" s="33" t="inlineStr">
        <is>
          <t>Не автоматизирован</t>
        </is>
      </c>
      <c r="O46" s="31" t="inlineStr"/>
      <c r="P46" s="33" t="inlineStr">
        <is>
          <t>Не выполнен</t>
        </is>
      </c>
      <c r="Q46" s="31" t="inlineStr"/>
    </row>
    <row r="47" ht="34" customHeight="1">
      <c r="A47" s="30" t="inlineStr">
        <is>
          <t>TRF-010</t>
        </is>
      </c>
      <c r="B47" s="31" t="inlineStr">
        <is>
          <t>Перемещение товара (Transfer)</t>
        </is>
      </c>
      <c r="C47" s="31" t="inlineStr">
        <is>
          <t>Печать</t>
        </is>
      </c>
      <c r="D47" s="32" t="inlineStr">
        <is>
          <t>Печать документа перемещения</t>
        </is>
      </c>
      <c r="E47" s="33" t="inlineStr">
        <is>
          <t>P3</t>
        </is>
      </c>
      <c r="F47" s="33" t="inlineStr">
        <is>
          <t>UI</t>
        </is>
      </c>
      <c r="G47" s="31" t="inlineStr">
        <is>
          <t>Есть перемещение</t>
        </is>
      </c>
      <c r="H47" s="31" t="inlineStr">
        <is>
          <t>1. Открыть
2. «Print»</t>
        </is>
      </c>
      <c r="I47" s="31" t="inlineStr"/>
      <c r="J47" s="31" t="inlineStr">
        <is>
          <t>Печатная форма с товарами, количеством, складами</t>
        </is>
      </c>
      <c r="K47" s="31" t="inlineStr"/>
      <c r="L47" s="33" t="inlineStr">
        <is>
          <t>Да</t>
        </is>
      </c>
      <c r="M47" s="31" t="inlineStr"/>
      <c r="N47" s="33" t="inlineStr">
        <is>
          <t>Не автоматизирован</t>
        </is>
      </c>
      <c r="O47" s="31" t="inlineStr"/>
      <c r="P47" s="33" t="inlineStr">
        <is>
          <t>Не выполнен</t>
        </is>
      </c>
      <c r="Q47" s="31" t="inlineStr"/>
    </row>
    <row r="48" ht="48" customHeight="1">
      <c r="A48" s="26" t="inlineStr">
        <is>
          <t>PVAR-001</t>
        </is>
      </c>
      <c r="B48" s="27" t="inlineStr">
        <is>
          <t>Варианты товара (потребность)</t>
        </is>
      </c>
      <c r="C48" s="27" t="inlineStr">
        <is>
          <t>Потребность</t>
        </is>
      </c>
      <c r="D48" s="28" t="inlineStr">
        <is>
          <t>Отметка Necessary / Unnecessary</t>
        </is>
      </c>
      <c r="E48" s="29" t="inlineStr">
        <is>
          <t>P3</t>
        </is>
      </c>
      <c r="F48" s="29" t="inlineStr">
        <is>
          <t>Functional</t>
        </is>
      </c>
      <c r="G48" s="27" t="inlineStr">
        <is>
          <t>Вход в админку под тестовым аккаунтом (полные права)</t>
        </is>
      </c>
      <c r="H48" s="27" t="inlineStr">
        <is>
          <t>1. Products actions → Product variant
2. Выбрать строки
3. «Necessary» / «Unnecessary»</t>
        </is>
      </c>
      <c r="I48" s="27" t="inlineStr"/>
      <c r="J48" s="27" t="inlineStr">
        <is>
          <t>Колонка Isnecessary обновлена у выбранных</t>
        </is>
      </c>
      <c r="K48" s="27" t="inlineStr"/>
      <c r="L48" s="29" t="inlineStr">
        <is>
          <t>Да</t>
        </is>
      </c>
      <c r="M48" s="27" t="inlineStr"/>
      <c r="N48" s="29" t="inlineStr">
        <is>
          <t>Не автоматизирован</t>
        </is>
      </c>
      <c r="O48" s="27" t="inlineStr"/>
      <c r="P48" s="29" t="inlineStr">
        <is>
          <t>Не выполнен</t>
        </is>
      </c>
      <c r="Q48" s="27" t="inlineStr"/>
    </row>
    <row r="49" ht="34" customHeight="1">
      <c r="A49" s="26" t="inlineStr">
        <is>
          <t>PVAR-002</t>
        </is>
      </c>
      <c r="B49" s="27" t="inlineStr">
        <is>
          <t>Варианты товара (потребность)</t>
        </is>
      </c>
      <c r="C49" s="27" t="inlineStr">
        <is>
          <t>Потребность</t>
        </is>
      </c>
      <c r="D49" s="28" t="inlineStr">
        <is>
          <t>«Add normative day» и выгрузка</t>
        </is>
      </c>
      <c r="E49" s="29" t="inlineStr">
        <is>
          <t>P3</t>
        </is>
      </c>
      <c r="F49" s="29" t="inlineStr">
        <is>
          <t>Functional</t>
        </is>
      </c>
      <c r="G49" s="27" t="inlineStr">
        <is>
          <t>Вход в админку под тестовым аккаунтом (полные права)</t>
        </is>
      </c>
      <c r="H49" s="27" t="inlineStr">
        <is>
          <t>1. Выбрать строки → «Add normative day»
2. «Download»</t>
        </is>
      </c>
      <c r="I49" s="27" t="inlineStr"/>
      <c r="J49" s="27" t="inlineStr">
        <is>
          <t>Норматив дней сохранён; Excel совпадает с таблицей</t>
        </is>
      </c>
      <c r="K49" s="27" t="inlineStr"/>
      <c r="L49" s="29" t="inlineStr">
        <is>
          <t>Да</t>
        </is>
      </c>
      <c r="M49" s="27" t="inlineStr"/>
      <c r="N49" s="29" t="inlineStr">
        <is>
          <t>Не автоматизирован</t>
        </is>
      </c>
      <c r="O49" s="27" t="inlineStr"/>
      <c r="P49" s="29" t="inlineStr">
        <is>
          <t>Не выполнен</t>
        </is>
      </c>
      <c r="Q49" s="27" t="inlineStr"/>
    </row>
    <row r="50" ht="62" customHeight="1">
      <c r="A50" s="30" t="inlineStr">
        <is>
          <t>DISC-001</t>
        </is>
      </c>
      <c r="B50" s="31" t="inlineStr">
        <is>
          <t>Скидки и акции</t>
        </is>
      </c>
      <c r="C50" s="31" t="inlineStr">
        <is>
          <t>Создание</t>
        </is>
      </c>
      <c r="D50" s="32" t="inlineStr">
        <is>
          <t>Создание акции</t>
        </is>
      </c>
      <c r="E50" s="33" t="inlineStr">
        <is>
          <t>P1</t>
        </is>
      </c>
      <c r="F50" s="33" t="inlineStr">
        <is>
          <t>Smoke</t>
        </is>
      </c>
      <c r="G50" s="31" t="inlineStr">
        <is>
          <t>Вход в админку под тестовым аккаунтом (полные права)</t>
        </is>
      </c>
      <c r="H50" s="31" t="inlineStr">
        <is>
          <t>1. Products actions → Discount → «Create»
2. Даты, склады, названия UZ/RU/EN
3. «Add» товары, скидочные цены B2C/B2M/B2B
4. «Save»</t>
        </is>
      </c>
      <c r="I50" s="31" t="inlineStr"/>
      <c r="J50" s="31" t="inlineStr">
        <is>
          <t>Акция создана; % рассчитан по каждому типу цены</t>
        </is>
      </c>
      <c r="K50" s="31" t="inlineStr">
        <is>
          <t>PRD Discount US1</t>
        </is>
      </c>
      <c r="L50" s="33" t="inlineStr">
        <is>
          <t>Да</t>
        </is>
      </c>
      <c r="M50" s="31" t="inlineStr"/>
      <c r="N50" s="33" t="inlineStr">
        <is>
          <t>Не автоматизирован</t>
        </is>
      </c>
      <c r="O50" s="31" t="inlineStr"/>
      <c r="P50" s="33" t="inlineStr">
        <is>
          <t>Не выполнен</t>
        </is>
      </c>
      <c r="Q50" s="31" t="inlineStr"/>
    </row>
    <row r="51" ht="34" customHeight="1">
      <c r="A51" s="30" t="inlineStr">
        <is>
          <t>DISC-002</t>
        </is>
      </c>
      <c r="B51" s="31" t="inlineStr">
        <is>
          <t>Скидки и акции</t>
        </is>
      </c>
      <c r="C51" s="31" t="inlineStr">
        <is>
          <t>Валидация</t>
        </is>
      </c>
      <c r="D51" s="32" t="inlineStr">
        <is>
          <t>Скидочная цена выше текущей</t>
        </is>
      </c>
      <c r="E51" s="33" t="inlineStr">
        <is>
          <t>P1</t>
        </is>
      </c>
      <c r="F51" s="33" t="inlineStr">
        <is>
          <t>Negative</t>
        </is>
      </c>
      <c r="G51" s="31" t="inlineStr">
        <is>
          <t>Вход в админку под тестовым аккаунтом (полные права)</t>
        </is>
      </c>
      <c r="H51" s="31" t="inlineStr">
        <is>
          <t>1. Указать Discount price &gt; Current price
2. «Save»</t>
        </is>
      </c>
      <c r="I51" s="31" t="inlineStr"/>
      <c r="J51" s="31" t="inlineStr">
        <is>
          <t>Ошибка; равная цене допускается</t>
        </is>
      </c>
      <c r="K51" s="31" t="inlineStr">
        <is>
          <t>PRD Mijozga xos chegirma</t>
        </is>
      </c>
      <c r="L51" s="33" t="inlineStr">
        <is>
          <t>Да</t>
        </is>
      </c>
      <c r="M51" s="31" t="inlineStr"/>
      <c r="N51" s="33" t="inlineStr">
        <is>
          <t>Не автоматизирован</t>
        </is>
      </c>
      <c r="O51" s="31" t="inlineStr"/>
      <c r="P51" s="33" t="inlineStr">
        <is>
          <t>Не выполнен</t>
        </is>
      </c>
      <c r="Q51" s="31" t="inlineStr"/>
    </row>
    <row r="52" ht="48" customHeight="1">
      <c r="A52" s="30" t="inlineStr">
        <is>
          <t>DISC-003</t>
        </is>
      </c>
      <c r="B52" s="31" t="inlineStr">
        <is>
          <t>Скидки и акции</t>
        </is>
      </c>
      <c r="C52" s="31" t="inlineStr">
        <is>
          <t>Статусы</t>
        </is>
      </c>
      <c r="D52" s="32" t="inlineStr">
        <is>
          <t>Автостатусы акции</t>
        </is>
      </c>
      <c r="E52" s="33" t="inlineStr">
        <is>
          <t>P1</t>
        </is>
      </c>
      <c r="F52" s="33" t="inlineStr">
        <is>
          <t>Functional</t>
        </is>
      </c>
      <c r="G52" s="31" t="inlineStr">
        <is>
          <t>Вход в админку под тестовым аккаунтом (полные права)</t>
        </is>
      </c>
      <c r="H52" s="31" t="inlineStr">
        <is>
          <t>1. Создать акцию с началом завтра
2. Акцию с текущими датами
3. Акцию с прошедшими датами</t>
        </is>
      </c>
      <c r="I52" s="31" t="inlineStr"/>
      <c r="J52" s="31" t="inlineStr">
        <is>
          <t>Upcoming / Active / Expired определяются по датам автоматически</t>
        </is>
      </c>
      <c r="K52" s="31" t="inlineStr"/>
      <c r="L52" s="33" t="inlineStr">
        <is>
          <t>Да</t>
        </is>
      </c>
      <c r="M52" s="31" t="inlineStr"/>
      <c r="N52" s="33" t="inlineStr">
        <is>
          <t>Не автоматизирован</t>
        </is>
      </c>
      <c r="O52" s="31" t="inlineStr"/>
      <c r="P52" s="33" t="inlineStr">
        <is>
          <t>Не выполнен</t>
        </is>
      </c>
      <c r="Q52" s="31" t="inlineStr"/>
    </row>
    <row r="53" ht="34" customHeight="1">
      <c r="A53" s="30" t="inlineStr">
        <is>
          <t>DISC-004</t>
        </is>
      </c>
      <c r="B53" s="31" t="inlineStr">
        <is>
          <t>Скидки и акции</t>
        </is>
      </c>
      <c r="C53" s="31" t="inlineStr">
        <is>
          <t>Статусы</t>
        </is>
      </c>
      <c r="D53" s="32" t="inlineStr">
        <is>
          <t>Редактирование и отмена</t>
        </is>
      </c>
      <c r="E53" s="33" t="inlineStr">
        <is>
          <t>P2</t>
        </is>
      </c>
      <c r="F53" s="33" t="inlineStr">
        <is>
          <t>Functional</t>
        </is>
      </c>
      <c r="G53" s="31" t="inlineStr">
        <is>
          <t>Акции Upcoming, Active, Expired, Cancelled</t>
        </is>
      </c>
      <c r="H53" s="31" t="inlineStr">
        <is>
          <t>1. Изменить/отменить каждую</t>
        </is>
      </c>
      <c r="I53" s="31" t="inlineStr"/>
      <c r="J53" s="31" t="inlineStr">
        <is>
          <t>Редактировать/отменять можно только Upcoming и Active; Cancelled и Expired — только просмотр</t>
        </is>
      </c>
      <c r="K53" s="31" t="inlineStr"/>
      <c r="L53" s="33" t="inlineStr">
        <is>
          <t>Да</t>
        </is>
      </c>
      <c r="M53" s="31" t="inlineStr"/>
      <c r="N53" s="33" t="inlineStr">
        <is>
          <t>Не автоматизирован</t>
        </is>
      </c>
      <c r="O53" s="31" t="inlineStr"/>
      <c r="P53" s="33" t="inlineStr">
        <is>
          <t>Не выполнен</t>
        </is>
      </c>
      <c r="Q53" s="31" t="inlineStr"/>
    </row>
    <row r="54" ht="34" customHeight="1">
      <c r="A54" s="30" t="inlineStr">
        <is>
          <t>DISC-005</t>
        </is>
      </c>
      <c r="B54" s="31" t="inlineStr">
        <is>
          <t>Скидки и акции</t>
        </is>
      </c>
      <c r="C54" s="31" t="inlineStr">
        <is>
          <t>Витрина</t>
        </is>
      </c>
      <c r="D54" s="32" t="inlineStr">
        <is>
          <t>Акция на витрине только для своего типа цены</t>
        </is>
      </c>
      <c r="E54" s="33" t="inlineStr">
        <is>
          <t>P1</t>
        </is>
      </c>
      <c r="F54" s="33" t="inlineStr">
        <is>
          <t>Integration</t>
        </is>
      </c>
      <c r="G54" s="31" t="inlineStr">
        <is>
          <t>Активная акция только по B2C</t>
        </is>
      </c>
      <c r="H54" s="31" t="inlineStr">
        <is>
          <t>1. Открыть товар под клиентом и под мастером</t>
        </is>
      </c>
      <c r="I54" s="31" t="inlineStr"/>
      <c r="J54" s="31" t="inlineStr">
        <is>
          <t>Клиент видит -%, зачёркнутую цену и «N дней»; мастер — без скидки</t>
        </is>
      </c>
      <c r="K54" s="31" t="inlineStr">
        <is>
          <t>PRD Mijozga xos chegirma (AIDT-817)</t>
        </is>
      </c>
      <c r="L54" s="33" t="inlineStr">
        <is>
          <t>Частично</t>
        </is>
      </c>
      <c r="M54" s="31" t="inlineStr"/>
      <c r="N54" s="33" t="inlineStr">
        <is>
          <t>Не автоматизирован</t>
        </is>
      </c>
      <c r="O54" s="31" t="inlineStr"/>
      <c r="P54" s="33" t="inlineStr">
        <is>
          <t>Не выполнен</t>
        </is>
      </c>
      <c r="Q54" s="31" t="inlineStr"/>
    </row>
    <row r="55" ht="34" customHeight="1">
      <c r="A55" s="30" t="inlineStr">
        <is>
          <t>DISC-006</t>
        </is>
      </c>
      <c r="B55" s="31" t="inlineStr">
        <is>
          <t>Скидки и акции</t>
        </is>
      </c>
      <c r="C55" s="31" t="inlineStr">
        <is>
          <t>Витрина</t>
        </is>
      </c>
      <c r="D55" s="32" t="inlineStr">
        <is>
          <t>Акция только на выбранных складах</t>
        </is>
      </c>
      <c r="E55" s="33" t="inlineStr">
        <is>
          <t>P2</t>
        </is>
      </c>
      <c r="F55" s="33" t="inlineStr">
        <is>
          <t>Integration</t>
        </is>
      </c>
      <c r="G55" s="31" t="inlineStr">
        <is>
          <t>Акция на складе A</t>
        </is>
      </c>
      <c r="H55" s="31" t="inlineStr">
        <is>
          <t>1. На витрине выбрать магазин склада A, затем B</t>
        </is>
      </c>
      <c r="I55" s="31" t="inlineStr"/>
      <c r="J55" s="31" t="inlineStr">
        <is>
          <t>Скидка только для A</t>
        </is>
      </c>
      <c r="K55" s="31" t="inlineStr"/>
      <c r="L55" s="33" t="inlineStr">
        <is>
          <t>Да</t>
        </is>
      </c>
      <c r="M55" s="31" t="inlineStr"/>
      <c r="N55" s="33" t="inlineStr">
        <is>
          <t>Не автоматизирован</t>
        </is>
      </c>
      <c r="O55" s="31" t="inlineStr"/>
      <c r="P55" s="33" t="inlineStr">
        <is>
          <t>Не выполнен</t>
        </is>
      </c>
      <c r="Q55" s="31" t="inlineStr"/>
    </row>
    <row r="56" ht="34" customHeight="1">
      <c r="A56" s="30" t="inlineStr">
        <is>
          <t>DISC-007</t>
        </is>
      </c>
      <c r="B56" s="31" t="inlineStr">
        <is>
          <t>Скидки и акции</t>
        </is>
      </c>
      <c r="C56" s="31" t="inlineStr">
        <is>
          <t>Авто</t>
        </is>
      </c>
      <c r="D56" s="32" t="inlineStr">
        <is>
          <t>Черновик акции (авто-предложение)</t>
        </is>
      </c>
      <c r="E56" s="33" t="inlineStr">
        <is>
          <t>P3</t>
        </is>
      </c>
      <c r="F56" s="33" t="inlineStr">
        <is>
          <t>Functional</t>
        </is>
      </c>
      <c r="G56" s="31" t="inlineStr">
        <is>
          <t>Система сформировала черновик по зависшему товару</t>
        </is>
      </c>
      <c r="H56" s="31" t="inlineStr">
        <is>
          <t>1. Открыть черновик
2. Указать даты, запустить</t>
        </is>
      </c>
      <c r="I56" s="31" t="inlineStr"/>
      <c r="J56" s="31" t="inlineStr">
        <is>
          <t>Черновик с предложенным %; после запуска — обычная акция</t>
        </is>
      </c>
      <c r="K56" s="31" t="inlineStr">
        <is>
          <t>PRD Auto chegirma</t>
        </is>
      </c>
      <c r="L56" s="33" t="inlineStr">
        <is>
          <t>Частично</t>
        </is>
      </c>
      <c r="M56" s="31" t="inlineStr"/>
      <c r="N56" s="33" t="inlineStr">
        <is>
          <t>Не автоматизирован</t>
        </is>
      </c>
      <c r="O56" s="31" t="inlineStr"/>
      <c r="P56" s="33" t="inlineStr">
        <is>
          <t>Не выполнен</t>
        </is>
      </c>
      <c r="Q56" s="31" t="inlineStr"/>
    </row>
    <row r="57" ht="48" customHeight="1">
      <c r="A57" s="26" t="inlineStr">
        <is>
          <t>PROD-001</t>
        </is>
      </c>
      <c r="B57" s="27" t="inlineStr">
        <is>
          <t>Товары и варианты</t>
        </is>
      </c>
      <c r="C57" s="27" t="inlineStr">
        <is>
          <t>Список</t>
        </is>
      </c>
      <c r="D57" s="28" t="inlineStr">
        <is>
          <t>Список товаров</t>
        </is>
      </c>
      <c r="E57" s="29" t="inlineStr">
        <is>
          <t>P2</t>
        </is>
      </c>
      <c r="F57" s="29" t="inlineStr">
        <is>
          <t>Functional</t>
        </is>
      </c>
      <c r="G57" s="27" t="inlineStr">
        <is>
          <t>Вход в админку под тестовым аккаунтом (полные права)</t>
        </is>
      </c>
      <c r="H57" s="27" t="inlineStr">
        <is>
          <t>1. Открыть Products
2. Поиск по названию/ID
3. Пагинация</t>
        </is>
      </c>
      <c r="I57" s="27" t="inlineStr"/>
      <c r="J57" s="27" t="inlineStr">
        <is>
          <t>Колонки Id, Name, Variant count, Model, Category; поиск и пагинация работают</t>
        </is>
      </c>
      <c r="K57" s="27" t="inlineStr"/>
      <c r="L57" s="29" t="inlineStr">
        <is>
          <t>Да</t>
        </is>
      </c>
      <c r="M57" s="27" t="inlineStr"/>
      <c r="N57" s="29" t="inlineStr">
        <is>
          <t>Не автоматизирован</t>
        </is>
      </c>
      <c r="O57" s="27" t="inlineStr"/>
      <c r="P57" s="29" t="inlineStr">
        <is>
          <t>Не выполнен</t>
        </is>
      </c>
      <c r="Q57" s="27" t="inlineStr"/>
    </row>
    <row r="58" ht="76" customHeight="1">
      <c r="A58" s="26" t="inlineStr">
        <is>
          <t>PROD-002</t>
        </is>
      </c>
      <c r="B58" s="27" t="inlineStr">
        <is>
          <t>Товары и варианты</t>
        </is>
      </c>
      <c r="C58" s="27" t="inlineStr">
        <is>
          <t>Товар</t>
        </is>
      </c>
      <c r="D58" s="28" t="inlineStr">
        <is>
          <t>Редактирование товара (General)</t>
        </is>
      </c>
      <c r="E58" s="29" t="inlineStr">
        <is>
          <t>P1</t>
        </is>
      </c>
      <c r="F58" s="29" t="inlineStr">
        <is>
          <t>Functional</t>
        </is>
      </c>
      <c r="G58" s="27" t="inlineStr">
        <is>
          <t>Вход в админку под тестовым аккаунтом (полные права)</t>
        </is>
      </c>
      <c r="H58" s="27" t="inlineStr">
        <is>
          <t>1. Открыть товар
2. Изменить Product name, Brand, Category, Model, изображение
3. «Save»
4. Вернуть исходное</t>
        </is>
      </c>
      <c r="I58" s="27" t="inlineStr"/>
      <c r="J58" s="27" t="inlineStr">
        <is>
          <t>Изменения сохранены и видны на витрине</t>
        </is>
      </c>
      <c r="K58" s="27" t="inlineStr"/>
      <c r="L58" s="29" t="inlineStr">
        <is>
          <t>Да</t>
        </is>
      </c>
      <c r="M58" s="27" t="inlineStr"/>
      <c r="N58" s="29" t="inlineStr">
        <is>
          <t>Не автоматизирован</t>
        </is>
      </c>
      <c r="O58" s="27" t="inlineStr"/>
      <c r="P58" s="29" t="inlineStr">
        <is>
          <t>Не выполнен</t>
        </is>
      </c>
      <c r="Q58" s="27" t="inlineStr"/>
    </row>
    <row r="59" ht="34" customHeight="1">
      <c r="A59" s="26" t="inlineStr">
        <is>
          <t>PROD-003</t>
        </is>
      </c>
      <c r="B59" s="27" t="inlineStr">
        <is>
          <t>Товары и варианты</t>
        </is>
      </c>
      <c r="C59" s="27" t="inlineStr">
        <is>
          <t>Товар</t>
        </is>
      </c>
      <c r="D59" s="28" t="inlineStr">
        <is>
          <t>Создание товара</t>
        </is>
      </c>
      <c r="E59" s="29" t="inlineStr">
        <is>
          <t>P1</t>
        </is>
      </c>
      <c r="F59" s="29" t="inlineStr">
        <is>
          <t>Smoke</t>
        </is>
      </c>
      <c r="G59" s="27" t="inlineStr">
        <is>
          <t>Вход в админку под тестовым аккаунтом (полные права)</t>
        </is>
      </c>
      <c r="H59" s="27" t="inlineStr">
        <is>
          <t>1. Создать товар: название, бренд, категория (до Type, если есть), модель, изображение</t>
        </is>
      </c>
      <c r="I59" s="27" t="inlineStr"/>
      <c r="J59" s="27" t="inlineStr">
        <is>
          <t>Товар создан и виден в списке</t>
        </is>
      </c>
      <c r="K59" s="27" t="inlineStr"/>
      <c r="L59" s="29" t="inlineStr">
        <is>
          <t>Да</t>
        </is>
      </c>
      <c r="M59" s="27" t="inlineStr"/>
      <c r="N59" s="29" t="inlineStr">
        <is>
          <t>Не автоматизирован</t>
        </is>
      </c>
      <c r="O59" s="27" t="inlineStr"/>
      <c r="P59" s="29" t="inlineStr">
        <is>
          <t>Не выполнен</t>
        </is>
      </c>
      <c r="Q59" s="27" t="inlineStr"/>
    </row>
    <row r="60" ht="48" customHeight="1">
      <c r="A60" s="26" t="inlineStr">
        <is>
          <t>PROD-004</t>
        </is>
      </c>
      <c r="B60" s="27" t="inlineStr">
        <is>
          <t>Товары и варианты</t>
        </is>
      </c>
      <c r="C60" s="27" t="inlineStr">
        <is>
          <t>Варианты</t>
        </is>
      </c>
      <c r="D60" s="28" t="inlineStr">
        <is>
          <t>Создание варианта</t>
        </is>
      </c>
      <c r="E60" s="29" t="inlineStr">
        <is>
          <t>P1</t>
        </is>
      </c>
      <c r="F60" s="29" t="inlineStr">
        <is>
          <t>Smoke</t>
        </is>
      </c>
      <c r="G60" s="27" t="inlineStr">
        <is>
          <t>Вход в админку под тестовым аккаунтом (полные права); открыт товар → Variations</t>
        </is>
      </c>
      <c r="H60" s="27" t="inlineStr">
        <is>
          <t>1. Добавить вариант: атрибуты (качество, цвет), производитель, Check name
2. Сохранить</t>
        </is>
      </c>
      <c r="I60" s="27" t="inlineStr"/>
      <c r="J60" s="27" t="inlineStr">
        <is>
          <t>Вариант создан; пустой Check name генерируется автоматически</t>
        </is>
      </c>
      <c r="K60" s="27" t="inlineStr">
        <is>
          <t>PRD Product Variant Check Name</t>
        </is>
      </c>
      <c r="L60" s="29" t="inlineStr">
        <is>
          <t>Да</t>
        </is>
      </c>
      <c r="M60" s="27" t="inlineStr"/>
      <c r="N60" s="29" t="inlineStr">
        <is>
          <t>Не автоматизирован</t>
        </is>
      </c>
      <c r="O60" s="27" t="inlineStr"/>
      <c r="P60" s="29" t="inlineStr">
        <is>
          <t>Не выполнен</t>
        </is>
      </c>
      <c r="Q60" s="27" t="inlineStr"/>
    </row>
    <row r="61" ht="34" customHeight="1">
      <c r="A61" s="26" t="inlineStr">
        <is>
          <t>PROD-005</t>
        </is>
      </c>
      <c r="B61" s="27" t="inlineStr">
        <is>
          <t>Товары и варианты</t>
        </is>
      </c>
      <c r="C61" s="27" t="inlineStr">
        <is>
          <t>Варианты</t>
        </is>
      </c>
      <c r="D61" s="28" t="inlineStr">
        <is>
          <t>Дубль варианта</t>
        </is>
      </c>
      <c r="E61" s="29" t="inlineStr">
        <is>
          <t>P2</t>
        </is>
      </c>
      <c r="F61" s="29" t="inlineStr">
        <is>
          <t>Negative</t>
        </is>
      </c>
      <c r="G61" s="27" t="inlineStr">
        <is>
          <t>Есть вариант с теми же атрибутами и производителем</t>
        </is>
      </c>
      <c r="H61" s="27" t="inlineStr">
        <is>
          <t>1. Создать такой же вариант</t>
        </is>
      </c>
      <c r="I61" s="27" t="inlineStr"/>
      <c r="J61" s="27" t="inlineStr">
        <is>
          <t>Ошибка уникальности; с другим производителем — разрешено</t>
        </is>
      </c>
      <c r="K61" s="27" t="inlineStr">
        <is>
          <t>PRD 8.7 Ishlab chiqaruvchilar</t>
        </is>
      </c>
      <c r="L61" s="29" t="inlineStr">
        <is>
          <t>Да</t>
        </is>
      </c>
      <c r="M61" s="27" t="inlineStr"/>
      <c r="N61" s="29" t="inlineStr">
        <is>
          <t>Не автоматизирован</t>
        </is>
      </c>
      <c r="O61" s="27" t="inlineStr"/>
      <c r="P61" s="29" t="inlineStr">
        <is>
          <t>Не выполнен</t>
        </is>
      </c>
      <c r="Q61" s="27" t="inlineStr"/>
    </row>
    <row r="62" ht="34" customHeight="1">
      <c r="A62" s="26" t="inlineStr">
        <is>
          <t>PROD-006</t>
        </is>
      </c>
      <c r="B62" s="27" t="inlineStr">
        <is>
          <t>Товары и варианты</t>
        </is>
      </c>
      <c r="C62" s="27" t="inlineStr">
        <is>
          <t>Варианты</t>
        </is>
      </c>
      <c r="D62" s="28" t="inlineStr">
        <is>
          <t>Перенос варианта к другому товару</t>
        </is>
      </c>
      <c r="E62" s="29" t="inlineStr">
        <is>
          <t>P2</t>
        </is>
      </c>
      <c r="F62" s="29" t="inlineStr">
        <is>
          <t>Functional</t>
        </is>
      </c>
      <c r="G62" s="27" t="inlineStr">
        <is>
          <t>Есть вариант</t>
        </is>
      </c>
      <c r="H62" s="27" t="inlineStr">
        <is>
          <t>1. Изменить «Основной товар»
2. Подтвердить</t>
        </is>
      </c>
      <c r="I62" s="27" t="inlineStr"/>
      <c r="J62" s="27" t="inlineStr">
        <is>
          <t>Окно с предупреждением о смене категории; вариант перенесён с остатками и историей</t>
        </is>
      </c>
      <c r="K62" s="27" t="inlineStr">
        <is>
          <t>PRD Mahsulot varianti — almashtirish</t>
        </is>
      </c>
      <c r="L62" s="29" t="inlineStr">
        <is>
          <t>Да</t>
        </is>
      </c>
      <c r="M62" s="27" t="inlineStr"/>
      <c r="N62" s="29" t="inlineStr">
        <is>
          <t>Не автоматизирован</t>
        </is>
      </c>
      <c r="O62" s="27" t="inlineStr"/>
      <c r="P62" s="29" t="inlineStr">
        <is>
          <t>Не выполнен</t>
        </is>
      </c>
      <c r="Q62" s="27" t="inlineStr"/>
    </row>
    <row r="63" ht="34" customHeight="1">
      <c r="A63" s="26" t="inlineStr">
        <is>
          <t>PROD-007</t>
        </is>
      </c>
      <c r="B63" s="27" t="inlineStr">
        <is>
          <t>Товары и варианты</t>
        </is>
      </c>
      <c r="C63" s="27" t="inlineStr">
        <is>
          <t>Категории</t>
        </is>
      </c>
      <c r="D63" s="28" t="inlineStr">
        <is>
          <t>Обязательный Type у подкатегории с типами</t>
        </is>
      </c>
      <c r="E63" s="29" t="inlineStr">
        <is>
          <t>P2</t>
        </is>
      </c>
      <c r="F63" s="29" t="inlineStr">
        <is>
          <t>Negative</t>
        </is>
      </c>
      <c r="G63" s="27" t="inlineStr">
        <is>
          <t>Подкатегория с Type</t>
        </is>
      </c>
      <c r="H63" s="27" t="inlineStr">
        <is>
          <t>1. Создать товар без Type</t>
        </is>
      </c>
      <c r="I63" s="27" t="inlineStr"/>
      <c r="J63" s="27" t="inlineStr">
        <is>
          <t>Сохранение заблокировано</t>
        </is>
      </c>
      <c r="K63" s="27" t="inlineStr">
        <is>
          <t>PRD Product &amp; Product Variant</t>
        </is>
      </c>
      <c r="L63" s="29" t="inlineStr">
        <is>
          <t>Да</t>
        </is>
      </c>
      <c r="M63" s="27" t="inlineStr"/>
      <c r="N63" s="29" t="inlineStr">
        <is>
          <t>Не автоматизирован</t>
        </is>
      </c>
      <c r="O63" s="27" t="inlineStr"/>
      <c r="P63" s="29" t="inlineStr">
        <is>
          <t>Не выполнен</t>
        </is>
      </c>
      <c r="Q63" s="27" t="inlineStr"/>
    </row>
    <row r="64" ht="48" customHeight="1">
      <c r="A64" s="30" t="inlineStr">
        <is>
          <t>DIR-001</t>
        </is>
      </c>
      <c r="B64" s="31" t="inlineStr">
        <is>
          <t>Справочники</t>
        </is>
      </c>
      <c r="C64" s="31" t="inlineStr">
        <is>
          <t>Бренды</t>
        </is>
      </c>
      <c r="D64" s="32" t="inlineStr">
        <is>
          <t>CRUD брендов</t>
        </is>
      </c>
      <c r="E64" s="33" t="inlineStr">
        <is>
          <t>P2</t>
        </is>
      </c>
      <c r="F64" s="33" t="inlineStr">
        <is>
          <t>Functional</t>
        </is>
      </c>
      <c r="G64" s="31" t="inlineStr">
        <is>
          <t>Вход в админку под тестовым аккаунтом (полные права)</t>
        </is>
      </c>
      <c r="H64" s="31" t="inlineStr">
        <is>
          <t>1. Directory → Brands → «Create»
2. Отредактировать
3. Найти поиском</t>
        </is>
      </c>
      <c r="I64" s="31" t="inlineStr"/>
      <c r="J64" s="31" t="inlineStr">
        <is>
          <t>Бренд создан/изменён, есть в выборе бренда у товара</t>
        </is>
      </c>
      <c r="K64" s="31" t="inlineStr"/>
      <c r="L64" s="33" t="inlineStr">
        <is>
          <t>Да</t>
        </is>
      </c>
      <c r="M64" s="31" t="inlineStr"/>
      <c r="N64" s="33" t="inlineStr">
        <is>
          <t>Не автоматизирован</t>
        </is>
      </c>
      <c r="O64" s="31" t="inlineStr"/>
      <c r="P64" s="33" t="inlineStr">
        <is>
          <t>Не выполнен</t>
        </is>
      </c>
      <c r="Q64" s="31" t="inlineStr"/>
    </row>
    <row r="65" ht="48" customHeight="1">
      <c r="A65" s="30" t="inlineStr">
        <is>
          <t>DIR-002</t>
        </is>
      </c>
      <c r="B65" s="31" t="inlineStr">
        <is>
          <t>Справочники</t>
        </is>
      </c>
      <c r="C65" s="31" t="inlineStr">
        <is>
          <t>Категории</t>
        </is>
      </c>
      <c r="D65" s="32" t="inlineStr">
        <is>
          <t>Создание категории</t>
        </is>
      </c>
      <c r="E65" s="33" t="inlineStr">
        <is>
          <t>P1</t>
        </is>
      </c>
      <c r="F65" s="33" t="inlineStr">
        <is>
          <t>Functional</t>
        </is>
      </c>
      <c r="G65" s="31" t="inlineStr">
        <is>
          <t>Вход в админку под тестовым аккаунтом (полные права)</t>
        </is>
      </c>
      <c r="H65" s="31" t="inlineStr">
        <is>
          <t>1. Categories → «Create»: Name uz/ru/en, Tags, изображение, вес и габариты
2. «Create»</t>
        </is>
      </c>
      <c r="I65" s="31" t="inlineStr"/>
      <c r="J65" s="31" t="inlineStr">
        <is>
          <t>Категория создана и видна в меню каталога на витрине</t>
        </is>
      </c>
      <c r="K65" s="31" t="inlineStr"/>
      <c r="L65" s="33" t="inlineStr">
        <is>
          <t>Да</t>
        </is>
      </c>
      <c r="M65" s="31" t="inlineStr"/>
      <c r="N65" s="33" t="inlineStr">
        <is>
          <t>Не автоматизирован</t>
        </is>
      </c>
      <c r="O65" s="31" t="inlineStr"/>
      <c r="P65" s="33" t="inlineStr">
        <is>
          <t>Не выполнен</t>
        </is>
      </c>
      <c r="Q65" s="31" t="inlineStr"/>
    </row>
    <row r="66" ht="34" customHeight="1">
      <c r="A66" s="30" t="inlineStr">
        <is>
          <t>DIR-003</t>
        </is>
      </c>
      <c r="B66" s="31" t="inlineStr">
        <is>
          <t>Справочники</t>
        </is>
      </c>
      <c r="C66" s="31" t="inlineStr">
        <is>
          <t>Категории</t>
        </is>
      </c>
      <c r="D66" s="32" t="inlineStr">
        <is>
          <t>Страница категории: Subcategories / Products</t>
        </is>
      </c>
      <c r="E66" s="33" t="inlineStr">
        <is>
          <t>P2</t>
        </is>
      </c>
      <c r="F66" s="33" t="inlineStr">
        <is>
          <t>Functional</t>
        </is>
      </c>
      <c r="G66" s="31" t="inlineStr">
        <is>
          <t>Вход в админку под тестовым аккаунтом (полные права)</t>
        </is>
      </c>
      <c r="H66" s="31" t="inlineStr">
        <is>
          <t>1. Открыть категорию
2. Переключить вкладки</t>
        </is>
      </c>
      <c r="I66" s="31" t="inlineStr"/>
      <c r="J66" s="31" t="inlineStr">
        <is>
          <t>Видны подкатегории и привязанные товары</t>
        </is>
      </c>
      <c r="K66" s="31" t="inlineStr">
        <is>
          <t>PRD AIDT-759</t>
        </is>
      </c>
      <c r="L66" s="33" t="inlineStr">
        <is>
          <t>Да</t>
        </is>
      </c>
      <c r="M66" s="31" t="inlineStr"/>
      <c r="N66" s="33" t="inlineStr">
        <is>
          <t>Не автоматизирован</t>
        </is>
      </c>
      <c r="O66" s="31" t="inlineStr"/>
      <c r="P66" s="33" t="inlineStr">
        <is>
          <t>Не выполнен</t>
        </is>
      </c>
      <c r="Q66" s="31" t="inlineStr"/>
    </row>
    <row r="67" ht="34" customHeight="1">
      <c r="A67" s="30" t="inlineStr">
        <is>
          <t>DIR-004</t>
        </is>
      </c>
      <c r="B67" s="31" t="inlineStr">
        <is>
          <t>Справочники</t>
        </is>
      </c>
      <c r="C67" s="31" t="inlineStr">
        <is>
          <t>Категории</t>
        </is>
      </c>
      <c r="D67" s="32" t="inlineStr">
        <is>
          <t>Обязательные поля категории</t>
        </is>
      </c>
      <c r="E67" s="33" t="inlineStr">
        <is>
          <t>P2</t>
        </is>
      </c>
      <c r="F67" s="33" t="inlineStr">
        <is>
          <t>Negative</t>
        </is>
      </c>
      <c r="G67" s="31" t="inlineStr">
        <is>
          <t>Вход в админку под тестовым аккаунтом (полные права)</t>
        </is>
      </c>
      <c r="H67" s="31" t="inlineStr">
        <is>
          <t>1. Создать категорию без названия</t>
        </is>
      </c>
      <c r="I67" s="31" t="inlineStr"/>
      <c r="J67" s="31" t="inlineStr">
        <is>
          <t>Ошибка валидации</t>
        </is>
      </c>
      <c r="K67" s="31" t="inlineStr"/>
      <c r="L67" s="33" t="inlineStr">
        <is>
          <t>Да</t>
        </is>
      </c>
      <c r="M67" s="31" t="inlineStr"/>
      <c r="N67" s="33" t="inlineStr">
        <is>
          <t>Не автоматизирован</t>
        </is>
      </c>
      <c r="O67" s="31" t="inlineStr"/>
      <c r="P67" s="33" t="inlineStr">
        <is>
          <t>Не выполнен</t>
        </is>
      </c>
      <c r="Q67" s="31" t="inlineStr"/>
    </row>
    <row r="68" ht="34" customHeight="1">
      <c r="A68" s="30" t="inlineStr">
        <is>
          <t>DIR-005</t>
        </is>
      </c>
      <c r="B68" s="31" t="inlineStr">
        <is>
          <t>Справочники</t>
        </is>
      </c>
      <c r="C68" s="31" t="inlineStr">
        <is>
          <t>Атрибуты</t>
        </is>
      </c>
      <c r="D68" s="32" t="inlineStr">
        <is>
          <t>CRUD атрибутов и статус</t>
        </is>
      </c>
      <c r="E68" s="33" t="inlineStr">
        <is>
          <t>P3</t>
        </is>
      </c>
      <c r="F68" s="33" t="inlineStr">
        <is>
          <t>Functional</t>
        </is>
      </c>
      <c r="G68" s="31" t="inlineStr">
        <is>
          <t>Вход в админку под тестовым аккаунтом (полные права)</t>
        </is>
      </c>
      <c r="H68" s="31" t="inlineStr">
        <is>
          <t>1. Attributes → «Create»
2. Изменить статус</t>
        </is>
      </c>
      <c r="I68" s="31" t="inlineStr"/>
      <c r="J68" s="31" t="inlineStr">
        <is>
          <t>Атрибут создан; неактивный недоступен при создании варианта</t>
        </is>
      </c>
      <c r="K68" s="31" t="inlineStr"/>
      <c r="L68" s="33" t="inlineStr">
        <is>
          <t>Да</t>
        </is>
      </c>
      <c r="M68" s="31" t="inlineStr"/>
      <c r="N68" s="33" t="inlineStr">
        <is>
          <t>Не автоматизирован</t>
        </is>
      </c>
      <c r="O68" s="31" t="inlineStr"/>
      <c r="P68" s="33" t="inlineStr">
        <is>
          <t>Не выполнен</t>
        </is>
      </c>
      <c r="Q68" s="31" t="inlineStr"/>
    </row>
    <row r="69" ht="34" customHeight="1">
      <c r="A69" s="30" t="inlineStr">
        <is>
          <t>DIR-006</t>
        </is>
      </c>
      <c r="B69" s="31" t="inlineStr">
        <is>
          <t>Справочники</t>
        </is>
      </c>
      <c r="C69" s="31" t="inlineStr">
        <is>
          <t>Модели</t>
        </is>
      </c>
      <c r="D69" s="32" t="inlineStr">
        <is>
          <t>Создание модели и уникальность</t>
        </is>
      </c>
      <c r="E69" s="33" t="inlineStr">
        <is>
          <t>P2</t>
        </is>
      </c>
      <c r="F69" s="33" t="inlineStr">
        <is>
          <t>Functional</t>
        </is>
      </c>
      <c r="G69" s="31" t="inlineStr">
        <is>
          <t>Вход в админку под тестовым аккаунтом (полные права)</t>
        </is>
      </c>
      <c r="H69" s="31" t="inlineStr">
        <is>
          <t>1. Models → «Create» (Title, Brand, Category)
2. Создать дубль</t>
        </is>
      </c>
      <c r="I69" s="31" t="inlineStr"/>
      <c r="J69" s="31" t="inlineStr">
        <is>
          <t>Модель создана; дубль в той же паре бренд+категория запрещён; модель видна в «Модель» на витрине</t>
        </is>
      </c>
      <c r="K69" s="31" t="inlineStr"/>
      <c r="L69" s="33" t="inlineStr">
        <is>
          <t>Да</t>
        </is>
      </c>
      <c r="M69" s="31" t="inlineStr"/>
      <c r="N69" s="33" t="inlineStr">
        <is>
          <t>Не автоматизирован</t>
        </is>
      </c>
      <c r="O69" s="31" t="inlineStr"/>
      <c r="P69" s="33" t="inlineStr">
        <is>
          <t>Не выполнен</t>
        </is>
      </c>
      <c r="Q69" s="31" t="inlineStr"/>
    </row>
    <row r="70" ht="34" customHeight="1">
      <c r="A70" s="30" t="inlineStr">
        <is>
          <t>DIR-007</t>
        </is>
      </c>
      <c r="B70" s="31" t="inlineStr">
        <is>
          <t>Справочники</t>
        </is>
      </c>
      <c r="C70" s="31" t="inlineStr">
        <is>
          <t>Модели</t>
        </is>
      </c>
      <c r="D70" s="32" t="inlineStr">
        <is>
          <t>Модели устройств (Device model)</t>
        </is>
      </c>
      <c r="E70" s="33" t="inlineStr">
        <is>
          <t>P3</t>
        </is>
      </c>
      <c r="F70" s="33" t="inlineStr">
        <is>
          <t>Functional</t>
        </is>
      </c>
      <c r="G70" s="31" t="inlineStr">
        <is>
          <t>Вход в админку под тестовым аккаунтом (полные права)</t>
        </is>
      </c>
      <c r="H70" s="31" t="inlineStr">
        <is>
          <t>1. Device model → «Create»</t>
        </is>
      </c>
      <c r="I70" s="31" t="inlineStr"/>
      <c r="J70" s="31" t="inlineStr">
        <is>
          <t>Модель устройства создана</t>
        </is>
      </c>
      <c r="K70" s="31" t="inlineStr"/>
      <c r="L70" s="33" t="inlineStr">
        <is>
          <t>Да</t>
        </is>
      </c>
      <c r="M70" s="31" t="inlineStr"/>
      <c r="N70" s="33" t="inlineStr">
        <is>
          <t>Не автоматизирован</t>
        </is>
      </c>
      <c r="O70" s="31" t="inlineStr"/>
      <c r="P70" s="33" t="inlineStr">
        <is>
          <t>Не выполнен</t>
        </is>
      </c>
      <c r="Q70" s="31" t="inlineStr"/>
    </row>
    <row r="71" ht="34" customHeight="1">
      <c r="A71" s="30" t="inlineStr">
        <is>
          <t>DIR-008</t>
        </is>
      </c>
      <c r="B71" s="31" t="inlineStr">
        <is>
          <t>Справочники</t>
        </is>
      </c>
      <c r="C71" s="31" t="inlineStr">
        <is>
          <t>Поставщики</t>
        </is>
      </c>
      <c r="D71" s="32" t="inlineStr">
        <is>
          <t>CRUD поставщиков</t>
        </is>
      </c>
      <c r="E71" s="33" t="inlineStr">
        <is>
          <t>P3</t>
        </is>
      </c>
      <c r="F71" s="33" t="inlineStr">
        <is>
          <t>Functional</t>
        </is>
      </c>
      <c r="G71" s="31" t="inlineStr">
        <is>
          <t>Вход в админку под тестовым аккаунтом (полные права)</t>
        </is>
      </c>
      <c r="H71" s="31" t="inlineStr">
        <is>
          <t>1. Providers → «Create» (Name, Address, Phone)</t>
        </is>
      </c>
      <c r="I71" s="31" t="inlineStr"/>
      <c r="J71" s="31" t="inlineStr">
        <is>
          <t>Поставщик создан, доступен в приходе</t>
        </is>
      </c>
      <c r="K71" s="31" t="inlineStr"/>
      <c r="L71" s="33" t="inlineStr">
        <is>
          <t>Да</t>
        </is>
      </c>
      <c r="M71" s="31" t="inlineStr"/>
      <c r="N71" s="33" t="inlineStr">
        <is>
          <t>Не автоматизирован</t>
        </is>
      </c>
      <c r="O71" s="31" t="inlineStr"/>
      <c r="P71" s="33" t="inlineStr">
        <is>
          <t>Не выполнен</t>
        </is>
      </c>
      <c r="Q71" s="31" t="inlineStr"/>
    </row>
    <row r="72" ht="62" customHeight="1">
      <c r="A72" s="26" t="inlineStr">
        <is>
          <t>ORD-001</t>
        </is>
      </c>
      <c r="B72" s="27" t="inlineStr">
        <is>
          <t>Заказы</t>
        </is>
      </c>
      <c r="C72" s="27" t="inlineStr">
        <is>
          <t>Список</t>
        </is>
      </c>
      <c r="D72" s="28" t="inlineStr">
        <is>
          <t>Список заказов и фильтры</t>
        </is>
      </c>
      <c r="E72" s="29" t="inlineStr">
        <is>
          <t>P1</t>
        </is>
      </c>
      <c r="F72" s="29" t="inlineStr">
        <is>
          <t>Smoke</t>
        </is>
      </c>
      <c r="G72" s="27" t="inlineStr">
        <is>
          <t>Вход в админку под тестовым аккаунтом (полные права)</t>
        </is>
      </c>
      <c r="H72" s="27" t="inlineStr">
        <is>
          <t>1. Orders → Orders
2. Фильтр: дата, склад, пользователь, статус, оплата, доставка, источник
3. «Clear»</t>
        </is>
      </c>
      <c r="I72" s="27" t="inlineStr"/>
      <c r="J72" s="27" t="inlineStr">
        <is>
          <t>Колонки Id, Customer, Order type, Warehouse, Status, Payment, Delivery, Total, Created, Comment; новые сверху; фильтры работают вместе</t>
        </is>
      </c>
      <c r="K72" s="27" t="inlineStr"/>
      <c r="L72" s="29" t="inlineStr">
        <is>
          <t>Да</t>
        </is>
      </c>
      <c r="M72" s="27" t="inlineStr"/>
      <c r="N72" s="29" t="inlineStr">
        <is>
          <t>Не автоматизирован</t>
        </is>
      </c>
      <c r="O72" s="27" t="inlineStr"/>
      <c r="P72" s="29" t="inlineStr">
        <is>
          <t>Не выполнен</t>
        </is>
      </c>
      <c r="Q72" s="27" t="inlineStr"/>
    </row>
    <row r="73" ht="34" customHeight="1">
      <c r="A73" s="26" t="inlineStr">
        <is>
          <t>ORD-002</t>
        </is>
      </c>
      <c r="B73" s="27" t="inlineStr">
        <is>
          <t>Заказы</t>
        </is>
      </c>
      <c r="C73" s="27" t="inlineStr">
        <is>
          <t>Список</t>
        </is>
      </c>
      <c r="D73" s="28" t="inlineStr">
        <is>
          <t>Заказ с витрины появляется в админке</t>
        </is>
      </c>
      <c r="E73" s="29" t="inlineStr">
        <is>
          <t>P1</t>
        </is>
      </c>
      <c r="F73" s="29" t="inlineStr">
        <is>
          <t>Integration</t>
        </is>
      </c>
      <c r="G73" s="27" t="inlineStr">
        <is>
          <t>Мастер оформил заказ на витрине</t>
        </is>
      </c>
      <c r="H73" s="27" t="inlineStr">
        <is>
          <t>1. Найти заказ по ID / пользователю</t>
        </is>
      </c>
      <c r="I73" s="27" t="inlineStr"/>
      <c r="J73" s="27" t="inlineStr">
        <is>
          <t>Данные совпадают с витриной: товары, сумма, оплата, доставка, склад, комментарий клиента</t>
        </is>
      </c>
      <c r="K73" s="27" t="inlineStr"/>
      <c r="L73" s="29" t="inlineStr">
        <is>
          <t>Да</t>
        </is>
      </c>
      <c r="M73" s="27" t="inlineStr"/>
      <c r="N73" s="29" t="inlineStr">
        <is>
          <t>Не автоматизирован</t>
        </is>
      </c>
      <c r="O73" s="27" t="inlineStr"/>
      <c r="P73" s="29" t="inlineStr">
        <is>
          <t>Не выполнен</t>
        </is>
      </c>
      <c r="Q73" s="27" t="inlineStr"/>
    </row>
    <row r="74" ht="76" customHeight="1">
      <c r="A74" s="26" t="inlineStr">
        <is>
          <t>ORD-003</t>
        </is>
      </c>
      <c r="B74" s="27" t="inlineStr">
        <is>
          <t>Заказы</t>
        </is>
      </c>
      <c r="C74" s="27" t="inlineStr">
        <is>
          <t>Детали</t>
        </is>
      </c>
      <c r="D74" s="28" t="inlineStr">
        <is>
          <t>Карточка заказа</t>
        </is>
      </c>
      <c r="E74" s="29" t="inlineStr">
        <is>
          <t>P1</t>
        </is>
      </c>
      <c r="F74" s="29" t="inlineStr">
        <is>
          <t>Functional</t>
        </is>
      </c>
      <c r="G74" s="27" t="inlineStr">
        <is>
          <t>Вход в админку под тестовым аккаунтом (полные права)</t>
        </is>
      </c>
      <c r="H74" s="27" t="inlineStr">
        <is>
          <t>1. Открыть заказ</t>
        </is>
      </c>
      <c r="I74" s="27" t="inlineStr"/>
      <c r="J74" s="27" t="inlineStr">
        <is>
          <t>Статусы заказа, клиент, склад-отправитель/склад, номер перемещения, даты; оплата: способ, цена товаров, возврат, цена заказа, доставка, срок; доставка: способ, адрес; товары: остаток, цена, возвращено, атрибуты</t>
        </is>
      </c>
      <c r="K74" s="27" t="inlineStr"/>
      <c r="L74" s="29" t="inlineStr">
        <is>
          <t>Да</t>
        </is>
      </c>
      <c r="M74" s="27" t="inlineStr"/>
      <c r="N74" s="29" t="inlineStr">
        <is>
          <t>Не автоматизирован</t>
        </is>
      </c>
      <c r="O74" s="27" t="inlineStr"/>
      <c r="P74" s="29" t="inlineStr">
        <is>
          <t>Не выполнен</t>
        </is>
      </c>
      <c r="Q74" s="27" t="inlineStr"/>
    </row>
    <row r="75" ht="48" customHeight="1">
      <c r="A75" s="26" t="inlineStr">
        <is>
          <t>ORD-004</t>
        </is>
      </c>
      <c r="B75" s="27" t="inlineStr">
        <is>
          <t>Заказы</t>
        </is>
      </c>
      <c r="C75" s="27" t="inlineStr">
        <is>
          <t>Статусы</t>
        </is>
      </c>
      <c r="D75" s="28" t="inlineStr">
        <is>
          <t>Смена статуса заказа</t>
        </is>
      </c>
      <c r="E75" s="29" t="inlineStr">
        <is>
          <t>P1</t>
        </is>
      </c>
      <c r="F75" s="29" t="inlineStr">
        <is>
          <t>Smoke</t>
        </is>
      </c>
      <c r="G75" s="27" t="inlineStr">
        <is>
          <t>Вход в админку под тестовым аккаунтом (полные права); заказ «Created»</t>
        </is>
      </c>
      <c r="H75" s="27" t="inlineStr">
        <is>
          <t>1. Created → Send → Received → Completed
2. «Save» после каждого</t>
        </is>
      </c>
      <c r="I75" s="27" t="inlineStr"/>
      <c r="J75" s="27" t="inlineStr">
        <is>
          <t>Статус и время сохраняются; клиент видит статус на витрине</t>
        </is>
      </c>
      <c r="K75" s="27" t="inlineStr">
        <is>
          <t>PRD Admin Order List and Detail</t>
        </is>
      </c>
      <c r="L75" s="29" t="inlineStr">
        <is>
          <t>Да</t>
        </is>
      </c>
      <c r="M75" s="27" t="inlineStr"/>
      <c r="N75" s="29" t="inlineStr">
        <is>
          <t>Не автоматизирован</t>
        </is>
      </c>
      <c r="O75" s="27" t="inlineStr"/>
      <c r="P75" s="29" t="inlineStr">
        <is>
          <t>Не выполнен</t>
        </is>
      </c>
      <c r="Q75" s="27" t="inlineStr"/>
    </row>
    <row r="76" ht="76" customHeight="1">
      <c r="A76" s="26" t="inlineStr">
        <is>
          <t>ORD-005</t>
        </is>
      </c>
      <c r="B76" s="27" t="inlineStr">
        <is>
          <t>Заказы</t>
        </is>
      </c>
      <c r="C76" s="27" t="inlineStr">
        <is>
          <t>Отмена</t>
        </is>
      </c>
      <c r="D76" s="28" t="inlineStr">
        <is>
          <t>Отмена заказа админом с причиной</t>
        </is>
      </c>
      <c r="E76" s="29" t="inlineStr">
        <is>
          <t>P1</t>
        </is>
      </c>
      <c r="F76" s="29" t="inlineStr">
        <is>
          <t>Functional</t>
        </is>
      </c>
      <c r="G76" s="27" t="inlineStr">
        <is>
          <t>Вход в админку под тестовым аккаунтом (полные права); незавершённый заказ</t>
        </is>
      </c>
      <c r="H76" s="27" t="inlineStr">
        <is>
          <t>1. Выбрать Canceled
2. Причину (не смогли связаться, не тот филиал, дубль, не тот товар, ошибка оформления, не забрал, другое)
3. «Save»</t>
        </is>
      </c>
      <c r="I76" s="27" t="inlineStr"/>
      <c r="J76" s="27" t="inlineStr">
        <is>
          <t>Без причины не отменить; «Другое» требует комментарий; товар вернулся на склад; клиент получил уведомление с текстом причины</t>
        </is>
      </c>
      <c r="K76" s="27" t="inlineStr">
        <is>
          <t>PRD Buyurtmani bekor qilish</t>
        </is>
      </c>
      <c r="L76" s="29" t="inlineStr">
        <is>
          <t>Да</t>
        </is>
      </c>
      <c r="M76" s="27" t="inlineStr"/>
      <c r="N76" s="29" t="inlineStr">
        <is>
          <t>Не автоматизирован</t>
        </is>
      </c>
      <c r="O76" s="27" t="inlineStr"/>
      <c r="P76" s="29" t="inlineStr">
        <is>
          <t>Не выполнен</t>
        </is>
      </c>
      <c r="Q76" s="27" t="inlineStr"/>
    </row>
    <row r="77" ht="34" customHeight="1">
      <c r="A77" s="26" t="inlineStr">
        <is>
          <t>ORD-006</t>
        </is>
      </c>
      <c r="B77" s="27" t="inlineStr">
        <is>
          <t>Заказы</t>
        </is>
      </c>
      <c r="C77" s="27" t="inlineStr">
        <is>
          <t>Отмена</t>
        </is>
      </c>
      <c r="D77" s="28" t="inlineStr">
        <is>
          <t>Отмена заказа с перемещением</t>
        </is>
      </c>
      <c r="E77" s="29" t="inlineStr">
        <is>
          <t>P2</t>
        </is>
      </c>
      <c r="F77" s="29" t="inlineStr">
        <is>
          <t>Functional</t>
        </is>
      </c>
      <c r="G77" s="27" t="inlineStr">
        <is>
          <t>Заказ с перемещением «Создан» / «В пути»</t>
        </is>
      </c>
      <c r="H77" s="27" t="inlineStr">
        <is>
          <t>1. Отменить заказ</t>
        </is>
      </c>
      <c r="I77" s="27" t="inlineStr"/>
      <c r="J77" s="27" t="inlineStr">
        <is>
          <t>«Создан» — перемещение отменено, товар вернулся отправителю; «В пути» — без изменений до приёмки</t>
        </is>
      </c>
      <c r="K77" s="27" t="inlineStr"/>
      <c r="L77" s="29" t="inlineStr">
        <is>
          <t>Да</t>
        </is>
      </c>
      <c r="M77" s="27" t="inlineStr"/>
      <c r="N77" s="29" t="inlineStr">
        <is>
          <t>Не автоматизирован</t>
        </is>
      </c>
      <c r="O77" s="27" t="inlineStr"/>
      <c r="P77" s="29" t="inlineStr">
        <is>
          <t>Не выполнен</t>
        </is>
      </c>
      <c r="Q77" s="27" t="inlineStr"/>
    </row>
    <row r="78" ht="48" customHeight="1">
      <c r="A78" s="26" t="inlineStr">
        <is>
          <t>ORD-007</t>
        </is>
      </c>
      <c r="B78" s="27" t="inlineStr">
        <is>
          <t>Заказы</t>
        </is>
      </c>
      <c r="C78" s="27" t="inlineStr">
        <is>
          <t>Перемещение</t>
        </is>
      </c>
      <c r="D78" s="28" t="inlineStr">
        <is>
          <t>Приём перемещения из карточки заказа</t>
        </is>
      </c>
      <c r="E78" s="29" t="inlineStr">
        <is>
          <t>P2</t>
        </is>
      </c>
      <c r="F78" s="29" t="inlineStr">
        <is>
          <t>Functional</t>
        </is>
      </c>
      <c r="G78" s="27" t="inlineStr">
        <is>
          <t>Заказ с перемещением «В пути», пользователь склада-получателя</t>
        </is>
      </c>
      <c r="H78" s="27" t="inlineStr">
        <is>
          <t>1. В карточке заказа «Принять»</t>
        </is>
      </c>
      <c r="I78" s="27" t="inlineStr"/>
      <c r="J78" s="27" t="inlineStr">
        <is>
          <t>Перемещение принято целиком, заказ «Received»; чужой склад не может принять</t>
        </is>
      </c>
      <c r="K78" s="27" t="inlineStr">
        <is>
          <t>PRD Admin Order ORD-010</t>
        </is>
      </c>
      <c r="L78" s="29" t="inlineStr">
        <is>
          <t>Да</t>
        </is>
      </c>
      <c r="M78" s="27" t="inlineStr"/>
      <c r="N78" s="29" t="inlineStr">
        <is>
          <t>Не автоматизирован</t>
        </is>
      </c>
      <c r="O78" s="27" t="inlineStr"/>
      <c r="P78" s="29" t="inlineStr">
        <is>
          <t>Не выполнен</t>
        </is>
      </c>
      <c r="Q78" s="27" t="inlineStr"/>
    </row>
    <row r="79" ht="34" customHeight="1">
      <c r="A79" s="26" t="inlineStr">
        <is>
          <t>ORD-008</t>
        </is>
      </c>
      <c r="B79" s="27" t="inlineStr">
        <is>
          <t>Заказы</t>
        </is>
      </c>
      <c r="C79" s="27" t="inlineStr">
        <is>
          <t>Оплата</t>
        </is>
      </c>
      <c r="D79" s="28" t="inlineStr">
        <is>
          <t>Статус оплаты меняется отдельно</t>
        </is>
      </c>
      <c r="E79" s="29" t="inlineStr">
        <is>
          <t>P2</t>
        </is>
      </c>
      <c r="F79" s="29" t="inlineStr">
        <is>
          <t>Functional</t>
        </is>
      </c>
      <c r="G79" s="27" t="inlineStr">
        <is>
          <t>Заказ с оплатой наличными</t>
        </is>
      </c>
      <c r="H79" s="27" t="inlineStr">
        <is>
          <t>1. Отметить оплату как оплаченную</t>
        </is>
      </c>
      <c r="I79" s="27" t="inlineStr"/>
      <c r="J79" s="27" t="inlineStr">
        <is>
          <t>Меняется только оплата; статус заказа без изменений; клиент видит «Оплачено»</t>
        </is>
      </c>
      <c r="K79" s="27" t="inlineStr"/>
      <c r="L79" s="29" t="inlineStr">
        <is>
          <t>Да</t>
        </is>
      </c>
      <c r="M79" s="27" t="inlineStr"/>
      <c r="N79" s="29" t="inlineStr">
        <is>
          <t>Не автоматизирован</t>
        </is>
      </c>
      <c r="O79" s="27" t="inlineStr"/>
      <c r="P79" s="29" t="inlineStr">
        <is>
          <t>Не выполнен</t>
        </is>
      </c>
      <c r="Q79" s="27" t="inlineStr"/>
    </row>
    <row r="80" ht="48" customHeight="1">
      <c r="A80" s="26" t="inlineStr">
        <is>
          <t>ORD-009</t>
        </is>
      </c>
      <c r="B80" s="27" t="inlineStr">
        <is>
          <t>Заказы</t>
        </is>
      </c>
      <c r="C80" s="27" t="inlineStr">
        <is>
          <t>Смена оплаты</t>
        </is>
      </c>
      <c r="D80" s="28" t="inlineStr">
        <is>
          <t>Запрос клиенту на смену оплаты</t>
        </is>
      </c>
      <c r="E80" s="29" t="inlineStr">
        <is>
          <t>P1</t>
        </is>
      </c>
      <c r="F80" s="29" t="inlineStr">
        <is>
          <t>Functional</t>
        </is>
      </c>
      <c r="G80" s="27" t="inlineStr">
        <is>
          <t>Заказ: Created/Send/Received, не оплачен</t>
        </is>
      </c>
      <c r="H80" s="27" t="inlineStr">
        <is>
          <t>1. «Изменить способ оплаты»: Наличные → Hamyon (срок для мастера только чтение)
2. «Отправить запрос»</t>
        </is>
      </c>
      <c r="I80" s="27" t="inlineStr"/>
      <c r="J80" s="27" t="inlineStr">
        <is>
          <t>Баннер «ожидает подтверждения», можно отменить; клиенту пришёл push; до ответа способ не меняется</t>
        </is>
      </c>
      <c r="K80" s="27" t="inlineStr">
        <is>
          <t>PRD Change Payment Method</t>
        </is>
      </c>
      <c r="L80" s="29" t="inlineStr">
        <is>
          <t>Да</t>
        </is>
      </c>
      <c r="M80" s="27" t="inlineStr"/>
      <c r="N80" s="29" t="inlineStr">
        <is>
          <t>Не автоматизирован</t>
        </is>
      </c>
      <c r="O80" s="27" t="inlineStr"/>
      <c r="P80" s="29" t="inlineStr">
        <is>
          <t>Не выполнен</t>
        </is>
      </c>
      <c r="Q80" s="27" t="inlineStr"/>
    </row>
    <row r="81" ht="34" customHeight="1">
      <c r="A81" s="26" t="inlineStr">
        <is>
          <t>ORD-010</t>
        </is>
      </c>
      <c r="B81" s="27" t="inlineStr">
        <is>
          <t>Заказы</t>
        </is>
      </c>
      <c r="C81" s="27" t="inlineStr">
        <is>
          <t>Смена оплаты</t>
        </is>
      </c>
      <c r="D81" s="28" t="inlineStr">
        <is>
          <t>Защита при смене статуса с открытым запросом</t>
        </is>
      </c>
      <c r="E81" s="29" t="inlineStr">
        <is>
          <t>P2</t>
        </is>
      </c>
      <c r="F81" s="29" t="inlineStr">
        <is>
          <t>Functional</t>
        </is>
      </c>
      <c r="G81" s="27" t="inlineStr">
        <is>
          <t>Есть запрос на смену оплаты</t>
        </is>
      </c>
      <c r="H81" s="27" t="inlineStr">
        <is>
          <t>1. Перевести заказ в Completed</t>
        </is>
      </c>
      <c r="I81" s="27" t="inlineStr"/>
      <c r="J81" s="27" t="inlineStr">
        <is>
          <t>Окно «запрос будет отменён — продолжить?»; при «Да» запрос отменён и статус меняется</t>
        </is>
      </c>
      <c r="K81" s="27" t="inlineStr"/>
      <c r="L81" s="29" t="inlineStr">
        <is>
          <t>Да</t>
        </is>
      </c>
      <c r="M81" s="27" t="inlineStr"/>
      <c r="N81" s="29" t="inlineStr">
        <is>
          <t>Не автоматизирован</t>
        </is>
      </c>
      <c r="O81" s="27" t="inlineStr"/>
      <c r="P81" s="29" t="inlineStr">
        <is>
          <t>Не выполнен</t>
        </is>
      </c>
      <c r="Q81" s="27" t="inlineStr"/>
    </row>
    <row r="82" ht="34" customHeight="1">
      <c r="A82" s="26" t="inlineStr">
        <is>
          <t>ORD-011</t>
        </is>
      </c>
      <c r="B82" s="27" t="inlineStr">
        <is>
          <t>Заказы</t>
        </is>
      </c>
      <c r="C82" s="27" t="inlineStr">
        <is>
          <t>Смена оплаты</t>
        </is>
      </c>
      <c r="D82" s="28" t="inlineStr">
        <is>
          <t>Смена оплаты недоступна для закрытых заказов</t>
        </is>
      </c>
      <c r="E82" s="29" t="inlineStr">
        <is>
          <t>P2</t>
        </is>
      </c>
      <c r="F82" s="29" t="inlineStr">
        <is>
          <t>Negative</t>
        </is>
      </c>
      <c r="G82" s="27" t="inlineStr">
        <is>
          <t>Заказ Completed / Canceled / Returned</t>
        </is>
      </c>
      <c r="H82" s="27" t="inlineStr">
        <is>
          <t>1. Открыть оплату</t>
        </is>
      </c>
      <c r="I82" s="27" t="inlineStr"/>
      <c r="J82" s="27" t="inlineStr">
        <is>
          <t>«Payment method cannot be changed for this order»</t>
        </is>
      </c>
      <c r="K82" s="27" t="inlineStr"/>
      <c r="L82" s="29" t="inlineStr">
        <is>
          <t>Да</t>
        </is>
      </c>
      <c r="M82" s="27" t="inlineStr"/>
      <c r="N82" s="29" t="inlineStr">
        <is>
          <t>Не автоматизирован</t>
        </is>
      </c>
      <c r="O82" s="27" t="inlineStr"/>
      <c r="P82" s="29" t="inlineStr">
        <is>
          <t>Не выполнен</t>
        </is>
      </c>
      <c r="Q82" s="27" t="inlineStr"/>
    </row>
    <row r="83" ht="34" customHeight="1">
      <c r="A83" s="26" t="inlineStr">
        <is>
          <t>ORD-012</t>
        </is>
      </c>
      <c r="B83" s="27" t="inlineStr">
        <is>
          <t>Заказы</t>
        </is>
      </c>
      <c r="C83" s="27" t="inlineStr">
        <is>
          <t>Баллы</t>
        </is>
      </c>
      <c r="D83" s="28" t="inlineStr">
        <is>
          <t>Выполнение заказа начисляет 1% баллов</t>
        </is>
      </c>
      <c r="E83" s="29" t="inlineStr">
        <is>
          <t>P1</t>
        </is>
      </c>
      <c r="F83" s="29" t="inlineStr">
        <is>
          <t>Integration</t>
        </is>
      </c>
      <c r="G83" s="27" t="inlineStr">
        <is>
          <t>Заказ клиента не оплачен баллами</t>
        </is>
      </c>
      <c r="H83" s="27" t="inlineStr">
        <is>
          <t>1. Перевести в Completed</t>
        </is>
      </c>
      <c r="I83" s="27" t="inlineStr"/>
      <c r="J83" s="27" t="inlineStr">
        <is>
          <t>Начислено 1% цены заказа; в Point transactions — «Начислено за заказ»</t>
        </is>
      </c>
      <c r="K83" s="27" t="inlineStr"/>
      <c r="L83" s="29" t="inlineStr">
        <is>
          <t>Да</t>
        </is>
      </c>
      <c r="M83" s="27" t="inlineStr"/>
      <c r="N83" s="29" t="inlineStr">
        <is>
          <t>Не автоматизирован</t>
        </is>
      </c>
      <c r="O83" s="27" t="inlineStr"/>
      <c r="P83" s="29" t="inlineStr">
        <is>
          <t>Не выполнен</t>
        </is>
      </c>
      <c r="Q83" s="27" t="inlineStr"/>
    </row>
    <row r="84" ht="48" customHeight="1">
      <c r="A84" s="26" t="inlineStr">
        <is>
          <t>ORD-013</t>
        </is>
      </c>
      <c r="B84" s="27" t="inlineStr">
        <is>
          <t>Заказы</t>
        </is>
      </c>
      <c r="C84" s="27" t="inlineStr">
        <is>
          <t>Долг</t>
        </is>
      </c>
      <c r="D84" s="28" t="inlineStr">
        <is>
          <t>Выполнение Hamyon-заказа и лимит филиала</t>
        </is>
      </c>
      <c r="E84" s="29" t="inlineStr">
        <is>
          <t>P1</t>
        </is>
      </c>
      <c r="F84" s="29" t="inlineStr">
        <is>
          <t>Integration</t>
        </is>
      </c>
      <c r="G84" s="27" t="inlineStr">
        <is>
          <t>Hamyon-заказ; долг филиала у лимита</t>
        </is>
      </c>
      <c r="H84" s="27" t="inlineStr">
        <is>
          <t>1. Перевести в Completed</t>
        </is>
      </c>
      <c r="I84" s="27" t="inlineStr"/>
      <c r="J84" s="27" t="inlineStr">
        <is>
          <t>При превышении лимита — блок с цифрами; иначе Completed, срок оплаты = дата выполнения + N дней в 17:00</t>
        </is>
      </c>
      <c r="K84" s="27" t="inlineStr">
        <is>
          <t>PRD Filial qarz limiti; PRD Debt Limit</t>
        </is>
      </c>
      <c r="L84" s="29" t="inlineStr">
        <is>
          <t>Да</t>
        </is>
      </c>
      <c r="M84" s="27" t="inlineStr"/>
      <c r="N84" s="29" t="inlineStr">
        <is>
          <t>Не автоматизирован</t>
        </is>
      </c>
      <c r="O84" s="27" t="inlineStr"/>
      <c r="P84" s="29" t="inlineStr">
        <is>
          <t>Не выполнен</t>
        </is>
      </c>
      <c r="Q84" s="27" t="inlineStr"/>
    </row>
    <row r="85" ht="34" customHeight="1">
      <c r="A85" s="26" t="inlineStr">
        <is>
          <t>ORD-014</t>
        </is>
      </c>
      <c r="B85" s="27" t="inlineStr">
        <is>
          <t>Заказы</t>
        </is>
      </c>
      <c r="C85" s="27" t="inlineStr">
        <is>
          <t>Печать</t>
        </is>
      </c>
      <c r="D85" s="28" t="inlineStr">
        <is>
          <t>Печать заказа</t>
        </is>
      </c>
      <c r="E85" s="29" t="inlineStr">
        <is>
          <t>P3</t>
        </is>
      </c>
      <c r="F85" s="29" t="inlineStr">
        <is>
          <t>UI</t>
        </is>
      </c>
      <c r="G85" s="27" t="inlineStr">
        <is>
          <t>Есть заказ</t>
        </is>
      </c>
      <c r="H85" s="27" t="inlineStr">
        <is>
          <t>1. «Print»</t>
        </is>
      </c>
      <c r="I85" s="27" t="inlineStr"/>
      <c r="J85" s="27" t="inlineStr">
        <is>
          <t>Печатная форма заказа</t>
        </is>
      </c>
      <c r="K85" s="27" t="inlineStr"/>
      <c r="L85" s="29" t="inlineStr">
        <is>
          <t>Да</t>
        </is>
      </c>
      <c r="M85" s="27" t="inlineStr"/>
      <c r="N85" s="29" t="inlineStr">
        <is>
          <t>Не автоматизирован</t>
        </is>
      </c>
      <c r="O85" s="27" t="inlineStr"/>
      <c r="P85" s="29" t="inlineStr">
        <is>
          <t>Не выполнен</t>
        </is>
      </c>
      <c r="Q85" s="27" t="inlineStr"/>
    </row>
    <row r="86" ht="34" customHeight="1">
      <c r="A86" s="30" t="inlineStr">
        <is>
          <t>SW-001</t>
        </is>
      </c>
      <c r="B86" s="31" t="inlineStr">
        <is>
          <t>Окно продаж (Sales window)</t>
        </is>
      </c>
      <c r="C86" s="31" t="inlineStr">
        <is>
          <t>Список</t>
        </is>
      </c>
      <c r="D86" s="32" t="inlineStr">
        <is>
          <t>Список документов окна продаж</t>
        </is>
      </c>
      <c r="E86" s="33" t="inlineStr">
        <is>
          <t>P2</t>
        </is>
      </c>
      <c r="F86" s="33" t="inlineStr">
        <is>
          <t>Functional</t>
        </is>
      </c>
      <c r="G86" s="31" t="inlineStr">
        <is>
          <t>Вход в админку под тестовым аккаунтом (полные права)</t>
        </is>
      </c>
      <c r="H86" s="31" t="inlineStr">
        <is>
          <t>1. Orders → Sales window
2. Фильтры: дата, склад, статус, тип продажи</t>
        </is>
      </c>
      <c r="I86" s="31" t="inlineStr"/>
      <c r="J86" s="31" t="inlineStr">
        <is>
          <t>Колонки Id, Customer, Phone, Warehouse, Initiator, Total, Sent, Received, Type, Timer, Status</t>
        </is>
      </c>
      <c r="K86" s="31" t="inlineStr"/>
      <c r="L86" s="33" t="inlineStr">
        <is>
          <t>Да</t>
        </is>
      </c>
      <c r="M86" s="31" t="inlineStr"/>
      <c r="N86" s="33" t="inlineStr">
        <is>
          <t>Не автоматизирован</t>
        </is>
      </c>
      <c r="O86" s="31" t="inlineStr"/>
      <c r="P86" s="33" t="inlineStr">
        <is>
          <t>Не выполнен</t>
        </is>
      </c>
      <c r="Q86" s="31" t="inlineStr"/>
    </row>
    <row r="87" ht="62" customHeight="1">
      <c r="A87" s="30" t="inlineStr">
        <is>
          <t>SW-002</t>
        </is>
      </c>
      <c r="B87" s="31" t="inlineStr">
        <is>
          <t>Окно продаж (Sales window)</t>
        </is>
      </c>
      <c r="C87" s="31" t="inlineStr">
        <is>
          <t>Создание</t>
        </is>
      </c>
      <c r="D87" s="32" t="inlineStr">
        <is>
          <t>Создание и отправка документа клиенту</t>
        </is>
      </c>
      <c r="E87" s="33" t="inlineStr">
        <is>
          <t>P1</t>
        </is>
      </c>
      <c r="F87" s="33" t="inlineStr">
        <is>
          <t>Smoke</t>
        </is>
      </c>
      <c r="G87" s="31" t="inlineStr">
        <is>
          <t>Вход в админку под тестовым аккаунтом (полные права)</t>
        </is>
      </c>
      <c r="H87" s="31" t="inlineStr">
        <is>
          <t>1. «Create»: клиент, склад, тип продажи (Передан / Предложение), способ оплаты или «Клиент выбирает»
2. Товары, кол-во ≤ доступного
3. «Send»</t>
        </is>
      </c>
      <c r="I87" s="31" t="inlineStr"/>
      <c r="J87" s="31" t="inlineStr">
        <is>
          <t>Статус «Отправлен»; товар зарезервирован; клиенту push; документ в «Спецзаказ → Новинка» на витрине</t>
        </is>
      </c>
      <c r="K87" s="31" t="inlineStr">
        <is>
          <t>PRD Sales window</t>
        </is>
      </c>
      <c r="L87" s="33" t="inlineStr">
        <is>
          <t>Да</t>
        </is>
      </c>
      <c r="M87" s="31" t="inlineStr"/>
      <c r="N87" s="33" t="inlineStr">
        <is>
          <t>Не автоматизирован</t>
        </is>
      </c>
      <c r="O87" s="31" t="inlineStr"/>
      <c r="P87" s="33" t="inlineStr">
        <is>
          <t>Не выполнен</t>
        </is>
      </c>
      <c r="Q87" s="31" t="inlineStr"/>
    </row>
    <row r="88" ht="34" customHeight="1">
      <c r="A88" s="30" t="inlineStr">
        <is>
          <t>SW-003</t>
        </is>
      </c>
      <c r="B88" s="31" t="inlineStr">
        <is>
          <t>Окно продаж (Sales window)</t>
        </is>
      </c>
      <c r="C88" s="31" t="inlineStr">
        <is>
          <t>Валидация</t>
        </is>
      </c>
      <c r="D88" s="32" t="inlineStr">
        <is>
          <t>Количество больше доступного</t>
        </is>
      </c>
      <c r="E88" s="33" t="inlineStr">
        <is>
          <t>P2</t>
        </is>
      </c>
      <c r="F88" s="33" t="inlineStr">
        <is>
          <t>Negative</t>
        </is>
      </c>
      <c r="G88" s="31" t="inlineStr">
        <is>
          <t>Вход в админку под тестовым аккаунтом (полные права)</t>
        </is>
      </c>
      <c r="H88" s="31" t="inlineStr">
        <is>
          <t>1. Указать кол-во &gt; доступного</t>
        </is>
      </c>
      <c r="I88" s="31" t="inlineStr"/>
      <c r="J88" s="31" t="inlineStr">
        <is>
          <t>Ошибка, сохранить нельзя</t>
        </is>
      </c>
      <c r="K88" s="31" t="inlineStr"/>
      <c r="L88" s="33" t="inlineStr">
        <is>
          <t>Да</t>
        </is>
      </c>
      <c r="M88" s="31" t="inlineStr"/>
      <c r="N88" s="33" t="inlineStr">
        <is>
          <t>Не автоматизирован</t>
        </is>
      </c>
      <c r="O88" s="31" t="inlineStr"/>
      <c r="P88" s="33" t="inlineStr">
        <is>
          <t>Не выполнен</t>
        </is>
      </c>
      <c r="Q88" s="31" t="inlineStr"/>
    </row>
    <row r="89" ht="34" customHeight="1">
      <c r="A89" s="30" t="inlineStr">
        <is>
          <t>SW-004</t>
        </is>
      </c>
      <c r="B89" s="31" t="inlineStr">
        <is>
          <t>Окно продаж (Sales window)</t>
        </is>
      </c>
      <c r="C89" s="31" t="inlineStr">
        <is>
          <t>Жизненный цикл</t>
        </is>
      </c>
      <c r="D89" s="32" t="inlineStr">
        <is>
          <t>Подтверждение клиентом создаёт заказ</t>
        </is>
      </c>
      <c r="E89" s="33" t="inlineStr">
        <is>
          <t>P1</t>
        </is>
      </c>
      <c r="F89" s="33" t="inlineStr">
        <is>
          <t>Integration</t>
        </is>
      </c>
      <c r="G89" s="31" t="inlineStr">
        <is>
          <t>Документ отправлен мастеру</t>
        </is>
      </c>
      <c r="H89" s="31" t="inlineStr">
        <is>
          <t>1. Мастер подтверждает на витрине
2. Открыть документ и Orders</t>
        </is>
      </c>
      <c r="I89" s="31" t="inlineStr"/>
      <c r="J89" s="31" t="inlineStr">
        <is>
          <t>Документ «Принят», создан обычный заказ</t>
        </is>
      </c>
      <c r="K89" s="31" t="inlineStr"/>
      <c r="L89" s="33" t="inlineStr">
        <is>
          <t>Да</t>
        </is>
      </c>
      <c r="M89" s="31" t="inlineStr"/>
      <c r="N89" s="33" t="inlineStr">
        <is>
          <t>Не автоматизирован</t>
        </is>
      </c>
      <c r="O89" s="31" t="inlineStr"/>
      <c r="P89" s="33" t="inlineStr">
        <is>
          <t>Не выполнен</t>
        </is>
      </c>
      <c r="Q89" s="31" t="inlineStr"/>
    </row>
    <row r="90" ht="34" customHeight="1">
      <c r="A90" s="30" t="inlineStr">
        <is>
          <t>SW-005</t>
        </is>
      </c>
      <c r="B90" s="31" t="inlineStr">
        <is>
          <t>Окно продаж (Sales window)</t>
        </is>
      </c>
      <c r="C90" s="31" t="inlineStr">
        <is>
          <t>Жизненный цикл</t>
        </is>
      </c>
      <c r="D90" s="32" t="inlineStr">
        <is>
          <t>Отмена документа возвращает резерв</t>
        </is>
      </c>
      <c r="E90" s="33" t="inlineStr">
        <is>
          <t>P1</t>
        </is>
      </c>
      <c r="F90" s="33" t="inlineStr">
        <is>
          <t>Functional</t>
        </is>
      </c>
      <c r="G90" s="31" t="inlineStr">
        <is>
          <t>Документ «Сохранён» или «Возвращён»</t>
        </is>
      </c>
      <c r="H90" s="31" t="inlineStr">
        <is>
          <t>1. «Cancel»</t>
        </is>
      </c>
      <c r="I90" s="31" t="inlineStr"/>
      <c r="J90" s="31" t="inlineStr">
        <is>
          <t>Статус «Отменён», товар вернулся на склад, клиенту push</t>
        </is>
      </c>
      <c r="K90" s="31" t="inlineStr"/>
      <c r="L90" s="33" t="inlineStr">
        <is>
          <t>Да</t>
        </is>
      </c>
      <c r="M90" s="31" t="inlineStr"/>
      <c r="N90" s="33" t="inlineStr">
        <is>
          <t>Не автоматизирован</t>
        </is>
      </c>
      <c r="O90" s="31" t="inlineStr"/>
      <c r="P90" s="33" t="inlineStr">
        <is>
          <t>Не выполнен</t>
        </is>
      </c>
      <c r="Q90" s="31" t="inlineStr"/>
    </row>
    <row r="91" ht="34" customHeight="1">
      <c r="A91" s="30" t="inlineStr">
        <is>
          <t>SW-006</t>
        </is>
      </c>
      <c r="B91" s="31" t="inlineStr">
        <is>
          <t>Окно продаж (Sales window)</t>
        </is>
      </c>
      <c r="C91" s="31" t="inlineStr">
        <is>
          <t>Таймер</t>
        </is>
      </c>
      <c r="D91" s="32" t="inlineStr">
        <is>
          <t>Автовозврат предложения по таймеру</t>
        </is>
      </c>
      <c r="E91" s="33" t="inlineStr">
        <is>
          <t>P3</t>
        </is>
      </c>
      <c r="F91" s="33" t="inlineStr">
        <is>
          <t>Functional</t>
        </is>
      </c>
      <c r="G91" s="31" t="inlineStr">
        <is>
          <t>Документ «Предложение» отправлен</t>
        </is>
      </c>
      <c r="H91" s="31" t="inlineStr">
        <is>
          <t>1. Дождаться таймера</t>
        </is>
      </c>
      <c r="I91" s="31" t="inlineStr"/>
      <c r="J91" s="31" t="inlineStr">
        <is>
          <t>Документ возвращён автоматически; «Передан» ждёт без таймера</t>
        </is>
      </c>
      <c r="K91" s="31" t="inlineStr"/>
      <c r="L91" s="33" t="inlineStr">
        <is>
          <t>Нет</t>
        </is>
      </c>
      <c r="M91" s="31" t="inlineStr">
        <is>
          <t>Долгое ожидание</t>
        </is>
      </c>
      <c r="N91" s="33" t="inlineStr">
        <is>
          <t>Не автоматизирован</t>
        </is>
      </c>
      <c r="O91" s="31" t="inlineStr"/>
      <c r="P91" s="33" t="inlineStr">
        <is>
          <t>Не выполнен</t>
        </is>
      </c>
      <c r="Q91" s="31" t="inlineStr"/>
    </row>
    <row r="92" ht="34" customHeight="1">
      <c r="A92" s="30" t="inlineStr">
        <is>
          <t>SW-007</t>
        </is>
      </c>
      <c r="B92" s="31" t="inlineStr">
        <is>
          <t>Окно продаж (Sales window)</t>
        </is>
      </c>
      <c r="C92" s="31" t="inlineStr">
        <is>
          <t>Тип</t>
        </is>
      </c>
      <c r="D92" s="32" t="inlineStr">
        <is>
          <t>Смена типа продажи</t>
        </is>
      </c>
      <c r="E92" s="33" t="inlineStr">
        <is>
          <t>P3</t>
        </is>
      </c>
      <c r="F92" s="33" t="inlineStr">
        <is>
          <t>Functional</t>
        </is>
      </c>
      <c r="G92" s="31" t="inlineStr">
        <is>
          <t>Документ Saved / Sent / Returned</t>
        </is>
      </c>
      <c r="H92" s="31" t="inlineStr">
        <is>
          <t>1. Сменить Передан ↔ Предложение</t>
        </is>
      </c>
      <c r="I92" s="31" t="inlineStr"/>
      <c r="J92" s="31" t="inlineStr">
        <is>
          <t>Таймер перезапускается / отключается; в Received/Cancelled тип не меняется</t>
        </is>
      </c>
      <c r="K92" s="31" t="inlineStr"/>
      <c r="L92" s="33" t="inlineStr">
        <is>
          <t>Да</t>
        </is>
      </c>
      <c r="M92" s="31" t="inlineStr"/>
      <c r="N92" s="33" t="inlineStr">
        <is>
          <t>Не автоматизирован</t>
        </is>
      </c>
      <c r="O92" s="31" t="inlineStr"/>
      <c r="P92" s="33" t="inlineStr">
        <is>
          <t>Не выполнен</t>
        </is>
      </c>
      <c r="Q92" s="31" t="inlineStr"/>
    </row>
    <row r="93" ht="34" customHeight="1">
      <c r="A93" s="26" t="inlineStr">
        <is>
          <t>RET-001</t>
        </is>
      </c>
      <c r="B93" s="27" t="inlineStr">
        <is>
          <t>Возврат товара</t>
        </is>
      </c>
      <c r="C93" s="27" t="inlineStr">
        <is>
          <t>Список</t>
        </is>
      </c>
      <c r="D93" s="28" t="inlineStr">
        <is>
          <t>Список возвратов</t>
        </is>
      </c>
      <c r="E93" s="29" t="inlineStr">
        <is>
          <t>P2</t>
        </is>
      </c>
      <c r="F93" s="29" t="inlineStr">
        <is>
          <t>Functional</t>
        </is>
      </c>
      <c r="G93" s="27" t="inlineStr">
        <is>
          <t>Вход в админку под тестовым аккаунтом (полные права)</t>
        </is>
      </c>
      <c r="H93" s="27" t="inlineStr">
        <is>
          <t>1. Orders → Return products
2. Фильтры: дата, склад, вариант</t>
        </is>
      </c>
      <c r="I93" s="27" t="inlineStr"/>
      <c r="J93" s="27" t="inlineStr">
        <is>
          <t>Колонки Id, Name, Warehouse, Created, Total return amount</t>
        </is>
      </c>
      <c r="K93" s="27" t="inlineStr"/>
      <c r="L93" s="29" t="inlineStr">
        <is>
          <t>Да</t>
        </is>
      </c>
      <c r="M93" s="27" t="inlineStr"/>
      <c r="N93" s="29" t="inlineStr">
        <is>
          <t>Не автоматизирован</t>
        </is>
      </c>
      <c r="O93" s="27" t="inlineStr"/>
      <c r="P93" s="29" t="inlineStr">
        <is>
          <t>Не выполнен</t>
        </is>
      </c>
      <c r="Q93" s="27" t="inlineStr"/>
    </row>
    <row r="94" ht="48" customHeight="1">
      <c r="A94" s="26" t="inlineStr">
        <is>
          <t>RET-002</t>
        </is>
      </c>
      <c r="B94" s="27" t="inlineStr">
        <is>
          <t>Возврат товара</t>
        </is>
      </c>
      <c r="C94" s="27" t="inlineStr">
        <is>
          <t>Создание</t>
        </is>
      </c>
      <c r="D94" s="28" t="inlineStr">
        <is>
          <t>Возврат исправного товара наличными</t>
        </is>
      </c>
      <c r="E94" s="29" t="inlineStr">
        <is>
          <t>P1</t>
        </is>
      </c>
      <c r="F94" s="29" t="inlineStr">
        <is>
          <t>Smoke</t>
        </is>
      </c>
      <c r="G94" s="27" t="inlineStr">
        <is>
          <t>У клиента выполненный заказ</t>
        </is>
      </c>
      <c r="H94" s="27" t="inlineStr">
        <is>
          <t>1. «Create»: клиент, строка заказа
2. Working return = 1, оплата «Наличные»
3. «Return»</t>
        </is>
      </c>
      <c r="I94" s="27" t="inlineStr"/>
      <c r="J94" s="27" t="inlineStr">
        <is>
          <t>Возврат создан; товар в рабочем остатке; клиенту наличные; на витрине возврат «Возвращён»</t>
        </is>
      </c>
      <c r="K94" s="27" t="inlineStr">
        <is>
          <t>PRD Product Return</t>
        </is>
      </c>
      <c r="L94" s="29" t="inlineStr">
        <is>
          <t>Да</t>
        </is>
      </c>
      <c r="M94" s="27" t="inlineStr"/>
      <c r="N94" s="29" t="inlineStr">
        <is>
          <t>Не автоматизирован</t>
        </is>
      </c>
      <c r="O94" s="27" t="inlineStr"/>
      <c r="P94" s="29" t="inlineStr">
        <is>
          <t>Не выполнен</t>
        </is>
      </c>
      <c r="Q94" s="27" t="inlineStr"/>
    </row>
    <row r="95" ht="34" customHeight="1">
      <c r="A95" s="26" t="inlineStr">
        <is>
          <t>RET-003</t>
        </is>
      </c>
      <c r="B95" s="27" t="inlineStr">
        <is>
          <t>Возврат товара</t>
        </is>
      </c>
      <c r="C95" s="27" t="inlineStr">
        <is>
          <t>Создание</t>
        </is>
      </c>
      <c r="D95" s="28" t="inlineStr">
        <is>
          <t>Брак и исправный в одной строке</t>
        </is>
      </c>
      <c r="E95" s="29" t="inlineStr">
        <is>
          <t>P2</t>
        </is>
      </c>
      <c r="F95" s="29" t="inlineStr">
        <is>
          <t>Functional</t>
        </is>
      </c>
      <c r="G95" s="27" t="inlineStr">
        <is>
          <t>Строка заказа на 2 шт</t>
        </is>
      </c>
      <c r="H95" s="27" t="inlineStr">
        <is>
          <t>1. Working 1, Broken 1</t>
        </is>
      </c>
      <c r="I95" s="27" t="inlineStr"/>
      <c r="J95" s="27" t="inlineStr">
        <is>
          <t>Исправный — в рабочий остаток, брак — на склад брака</t>
        </is>
      </c>
      <c r="K95" s="27" t="inlineStr"/>
      <c r="L95" s="29" t="inlineStr">
        <is>
          <t>Да</t>
        </is>
      </c>
      <c r="M95" s="27" t="inlineStr"/>
      <c r="N95" s="29" t="inlineStr">
        <is>
          <t>Не автоматизирован</t>
        </is>
      </c>
      <c r="O95" s="27" t="inlineStr"/>
      <c r="P95" s="29" t="inlineStr">
        <is>
          <t>Не выполнен</t>
        </is>
      </c>
      <c r="Q95" s="27" t="inlineStr"/>
    </row>
    <row r="96" ht="34" customHeight="1">
      <c r="A96" s="26" t="inlineStr">
        <is>
          <t>RET-004</t>
        </is>
      </c>
      <c r="B96" s="27" t="inlineStr">
        <is>
          <t>Возврат товара</t>
        </is>
      </c>
      <c r="C96" s="27" t="inlineStr">
        <is>
          <t>Создание</t>
        </is>
      </c>
      <c r="D96" s="28" t="inlineStr">
        <is>
          <t>Возврат больше проданного</t>
        </is>
      </c>
      <c r="E96" s="29" t="inlineStr">
        <is>
          <t>P1</t>
        </is>
      </c>
      <c r="F96" s="29" t="inlineStr">
        <is>
          <t>Negative</t>
        </is>
      </c>
      <c r="G96" s="27" t="inlineStr">
        <is>
          <t>Строка: продано 2, возвращено 1</t>
        </is>
      </c>
      <c r="H96" s="27" t="inlineStr">
        <is>
          <t>1. Вернуть 2</t>
        </is>
      </c>
      <c r="I96" s="27" t="inlineStr"/>
      <c r="J96" s="27" t="inlineStr">
        <is>
          <t>Нельзя: доступно только 1; полностью возвращённые строки не выбираются</t>
        </is>
      </c>
      <c r="K96" s="27" t="inlineStr"/>
      <c r="L96" s="29" t="inlineStr">
        <is>
          <t>Да</t>
        </is>
      </c>
      <c r="M96" s="27" t="inlineStr"/>
      <c r="N96" s="29" t="inlineStr">
        <is>
          <t>Не автоматизирован</t>
        </is>
      </c>
      <c r="O96" s="27" t="inlineStr"/>
      <c r="P96" s="29" t="inlineStr">
        <is>
          <t>Не выполнен</t>
        </is>
      </c>
      <c r="Q96" s="27" t="inlineStr"/>
    </row>
    <row r="97" ht="34" customHeight="1">
      <c r="A97" s="26" t="inlineStr">
        <is>
          <t>RET-005</t>
        </is>
      </c>
      <c r="B97" s="27" t="inlineStr">
        <is>
          <t>Возврат товара</t>
        </is>
      </c>
      <c r="C97" s="27" t="inlineStr">
        <is>
          <t>Оплата</t>
        </is>
      </c>
      <c r="D97" s="28" t="inlineStr">
        <is>
          <t>Возврат на кошелёк и баллы</t>
        </is>
      </c>
      <c r="E97" s="29" t="inlineStr">
        <is>
          <t>P2</t>
        </is>
      </c>
      <c r="F97" s="29" t="inlineStr">
        <is>
          <t>Integration</t>
        </is>
      </c>
      <c r="G97" s="27" t="inlineStr">
        <is>
          <t>Заказ клиента оплачен Hamyon / баллами</t>
        </is>
      </c>
      <c r="H97" s="27" t="inlineStr">
        <is>
          <t>1. Оформить возврат</t>
        </is>
      </c>
      <c r="I97" s="27" t="inlineStr"/>
      <c r="J97" s="27" t="inlineStr">
        <is>
          <t>Hamyon — уменьшен долг/пополнен кошелёк; баллы — возвращены; начисленный 1% списан</t>
        </is>
      </c>
      <c r="K97" s="27" t="inlineStr"/>
      <c r="L97" s="29" t="inlineStr">
        <is>
          <t>Да</t>
        </is>
      </c>
      <c r="M97" s="27" t="inlineStr"/>
      <c r="N97" s="29" t="inlineStr">
        <is>
          <t>Не автоматизирован</t>
        </is>
      </c>
      <c r="O97" s="27" t="inlineStr"/>
      <c r="P97" s="29" t="inlineStr">
        <is>
          <t>Не выполнен</t>
        </is>
      </c>
      <c r="Q97" s="27" t="inlineStr"/>
    </row>
    <row r="98" ht="34" customHeight="1">
      <c r="A98" s="26" t="inlineStr">
        <is>
          <t>RET-006</t>
        </is>
      </c>
      <c r="B98" s="27" t="inlineStr">
        <is>
          <t>Возврат товара</t>
        </is>
      </c>
      <c r="C98" s="27" t="inlineStr">
        <is>
          <t>Оплата</t>
        </is>
      </c>
      <c r="D98" s="28" t="inlineStr">
        <is>
          <t>Возврат при просроченном долге — только на кошелёк</t>
        </is>
      </c>
      <c r="E98" s="29" t="inlineStr">
        <is>
          <t>P2</t>
        </is>
      </c>
      <c r="F98" s="29" t="inlineStr">
        <is>
          <t>Integration</t>
        </is>
      </c>
      <c r="G98" s="27" t="inlineStr">
        <is>
          <t>У клиента просроченный долг</t>
        </is>
      </c>
      <c r="H98" s="27" t="inlineStr">
        <is>
          <t>1. Оформить возврат</t>
        </is>
      </c>
      <c r="I98" s="27" t="inlineStr"/>
      <c r="J98" s="27" t="inlineStr">
        <is>
          <t>Доступен только возврат на кошелёк</t>
        </is>
      </c>
      <c r="K98" s="27" t="inlineStr">
        <is>
          <t>PRD Qaytarish — muddati o'tgan qarz</t>
        </is>
      </c>
      <c r="L98" s="29" t="inlineStr">
        <is>
          <t>Частично</t>
        </is>
      </c>
      <c r="M98" s="27" t="inlineStr"/>
      <c r="N98" s="29" t="inlineStr">
        <is>
          <t>Не автоматизирован</t>
        </is>
      </c>
      <c r="O98" s="27" t="inlineStr"/>
      <c r="P98" s="29" t="inlineStr">
        <is>
          <t>Не выполнен</t>
        </is>
      </c>
      <c r="Q98" s="27" t="inlineStr"/>
    </row>
    <row r="99" ht="34" customHeight="1">
      <c r="A99" s="26" t="inlineStr">
        <is>
          <t>RET-007</t>
        </is>
      </c>
      <c r="B99" s="27" t="inlineStr">
        <is>
          <t>Возврат товара</t>
        </is>
      </c>
      <c r="C99" s="27" t="inlineStr">
        <is>
          <t>Печать</t>
        </is>
      </c>
      <c r="D99" s="28" t="inlineStr">
        <is>
          <t>Чек возврата и этикетки</t>
        </is>
      </c>
      <c r="E99" s="29" t="inlineStr">
        <is>
          <t>P3</t>
        </is>
      </c>
      <c r="F99" s="29" t="inlineStr">
        <is>
          <t>UI</t>
        </is>
      </c>
      <c r="G99" s="27" t="inlineStr">
        <is>
          <t>Есть возврат</t>
        </is>
      </c>
      <c r="H99" s="27" t="inlineStr">
        <is>
          <t>1. «Chop etish» и «Chek chiqarish»</t>
        </is>
      </c>
      <c r="I99" s="27" t="inlineStr"/>
      <c r="J99" s="27" t="inlineStr">
        <is>
          <t>Чек возврата (наличные / на кошелёк / итого) и этикетки</t>
        </is>
      </c>
      <c r="K99" s="27" t="inlineStr"/>
      <c r="L99" s="29" t="inlineStr">
        <is>
          <t>Да</t>
        </is>
      </c>
      <c r="M99" s="27" t="inlineStr"/>
      <c r="N99" s="29" t="inlineStr">
        <is>
          <t>Не автоматизирован</t>
        </is>
      </c>
      <c r="O99" s="27" t="inlineStr"/>
      <c r="P99" s="29" t="inlineStr">
        <is>
          <t>Не выполнен</t>
        </is>
      </c>
      <c r="Q99" s="27" t="inlineStr"/>
    </row>
    <row r="100" ht="48" customHeight="1">
      <c r="A100" s="30" t="inlineStr">
        <is>
          <t>BIL-001</t>
        </is>
      </c>
      <c r="B100" s="31" t="inlineStr">
        <is>
          <t>Касса и финансы (Billing)</t>
        </is>
      </c>
      <c r="C100" s="31" t="inlineStr">
        <is>
          <t>Кассы</t>
        </is>
      </c>
      <c r="D100" s="32" t="inlineStr">
        <is>
          <t>Создание кассы</t>
        </is>
      </c>
      <c r="E100" s="33" t="inlineStr">
        <is>
          <t>P2</t>
        </is>
      </c>
      <c r="F100" s="33" t="inlineStr">
        <is>
          <t>Functional</t>
        </is>
      </c>
      <c r="G100" s="31" t="inlineStr">
        <is>
          <t>Вход в админку под тестовым аккаунтом (полные права)</t>
        </is>
      </c>
      <c r="H100" s="31" t="inlineStr">
        <is>
          <t>1. Billing → Cachier → «Create»: склад, ответственный, названия UZ/RU/EN
2. «Create»</t>
        </is>
      </c>
      <c r="I100" s="31" t="inlineStr"/>
      <c r="J100" s="31" t="inlineStr">
        <is>
          <t>Касса создана, у неё открыт документ</t>
        </is>
      </c>
      <c r="K100" s="31" t="inlineStr"/>
      <c r="L100" s="33" t="inlineStr">
        <is>
          <t>Да</t>
        </is>
      </c>
      <c r="M100" s="31" t="inlineStr"/>
      <c r="N100" s="33" t="inlineStr">
        <is>
          <t>Не автоматизирован</t>
        </is>
      </c>
      <c r="O100" s="31" t="inlineStr"/>
      <c r="P100" s="33" t="inlineStr">
        <is>
          <t>Не выполнен</t>
        </is>
      </c>
      <c r="Q100" s="31" t="inlineStr"/>
    </row>
    <row r="101" ht="90" customHeight="1">
      <c r="A101" s="30" t="inlineStr">
        <is>
          <t>BIL-002</t>
        </is>
      </c>
      <c r="B101" s="31" t="inlineStr">
        <is>
          <t>Касса и финансы (Billing)</t>
        </is>
      </c>
      <c r="C101" s="31" t="inlineStr">
        <is>
          <t>Документ кассы</t>
        </is>
      </c>
      <c r="D101" s="32" t="inlineStr">
        <is>
          <t>Жизненный цикл документа кассы</t>
        </is>
      </c>
      <c r="E101" s="33" t="inlineStr">
        <is>
          <t>P1</t>
        </is>
      </c>
      <c r="F101" s="33" t="inlineStr">
        <is>
          <t>Functional</t>
        </is>
      </c>
      <c r="G101" s="31" t="inlineStr">
        <is>
          <t>Открытый документ кассы</t>
        </is>
      </c>
      <c r="H101" s="31" t="inlineStr">
        <is>
          <t>1. «Остановить»
2. Заполнить Наличные, Доллар, Click, Payme
3. «Закрыть»
4. Выбрать закрытые и кассу получателя → «Отправить»
5. Получатель заполняет бухгалтерские суммы → «Принять»</t>
        </is>
      </c>
      <c r="I101" s="31" t="inlineStr"/>
      <c r="J101" s="31" t="inlineStr">
        <is>
          <t>Открыт → Остановлен → Закрыт → В пути → Принят; после закрытия сразу открыт новый документ; разница кассира = Продавец − План</t>
        </is>
      </c>
      <c r="K101" s="31" t="inlineStr">
        <is>
          <t>PRD Kassa</t>
        </is>
      </c>
      <c r="L101" s="33" t="inlineStr">
        <is>
          <t>Да</t>
        </is>
      </c>
      <c r="M101" s="31" t="inlineStr"/>
      <c r="N101" s="33" t="inlineStr">
        <is>
          <t>Не автоматизирован</t>
        </is>
      </c>
      <c r="O101" s="31" t="inlineStr"/>
      <c r="P101" s="33" t="inlineStr">
        <is>
          <t>Не выполнен</t>
        </is>
      </c>
      <c r="Q101" s="31" t="inlineStr"/>
    </row>
    <row r="102" ht="34" customHeight="1">
      <c r="A102" s="30" t="inlineStr">
        <is>
          <t>BIL-003</t>
        </is>
      </c>
      <c r="B102" s="31" t="inlineStr">
        <is>
          <t>Касса и финансы (Billing)</t>
        </is>
      </c>
      <c r="C102" s="31" t="inlineStr">
        <is>
          <t>Документ кассы</t>
        </is>
      </c>
      <c r="D102" s="32" t="inlineStr">
        <is>
          <t>Закрытие без сумм продавца</t>
        </is>
      </c>
      <c r="E102" s="33" t="inlineStr">
        <is>
          <t>P2</t>
        </is>
      </c>
      <c r="F102" s="33" t="inlineStr">
        <is>
          <t>Negative</t>
        </is>
      </c>
      <c r="G102" s="31" t="inlineStr">
        <is>
          <t>Документ «Остановлен»</t>
        </is>
      </c>
      <c r="H102" s="31" t="inlineStr">
        <is>
          <t>1. «Закрыть» без сумм</t>
        </is>
      </c>
      <c r="I102" s="31" t="inlineStr"/>
      <c r="J102" s="31" t="inlineStr">
        <is>
          <t>Закрытие заблокировано</t>
        </is>
      </c>
      <c r="K102" s="31" t="inlineStr"/>
      <c r="L102" s="33" t="inlineStr">
        <is>
          <t>Да</t>
        </is>
      </c>
      <c r="M102" s="31" t="inlineStr"/>
      <c r="N102" s="33" t="inlineStr">
        <is>
          <t>Не автоматизирован</t>
        </is>
      </c>
      <c r="O102" s="31" t="inlineStr"/>
      <c r="P102" s="33" t="inlineStr">
        <is>
          <t>Не выполнен</t>
        </is>
      </c>
      <c r="Q102" s="31" t="inlineStr"/>
    </row>
    <row r="103" ht="34" customHeight="1">
      <c r="A103" s="30" t="inlineStr">
        <is>
          <t>BIL-004</t>
        </is>
      </c>
      <c r="B103" s="31" t="inlineStr">
        <is>
          <t>Касса и финансы (Billing)</t>
        </is>
      </c>
      <c r="C103" s="31" t="inlineStr">
        <is>
          <t>Документ кассы</t>
        </is>
      </c>
      <c r="D103" s="32" t="inlineStr">
        <is>
          <t>Курс доллара в документе</t>
        </is>
      </c>
      <c r="E103" s="33" t="inlineStr">
        <is>
          <t>P3</t>
        </is>
      </c>
      <c r="F103" s="33" t="inlineStr">
        <is>
          <t>Functional</t>
        </is>
      </c>
      <c r="G103" s="31" t="inlineStr">
        <is>
          <t>Задан курс USD</t>
        </is>
      </c>
      <c r="H103" s="31" t="inlineStr">
        <is>
          <t>1. Открыть новый документ кассы</t>
        </is>
      </c>
      <c r="I103" s="31" t="inlineStr"/>
      <c r="J103" s="31" t="inlineStr">
        <is>
          <t>В документе сохранён текущий курс</t>
        </is>
      </c>
      <c r="K103" s="31" t="inlineStr"/>
      <c r="L103" s="33" t="inlineStr">
        <is>
          <t>Да</t>
        </is>
      </c>
      <c r="M103" s="31" t="inlineStr"/>
      <c r="N103" s="33" t="inlineStr">
        <is>
          <t>Не автоматизирован</t>
        </is>
      </c>
      <c r="O103" s="31" t="inlineStr"/>
      <c r="P103" s="33" t="inlineStr">
        <is>
          <t>Не выполнен</t>
        </is>
      </c>
      <c r="Q103" s="31" t="inlineStr"/>
    </row>
    <row r="104" ht="48" customHeight="1">
      <c r="A104" s="30" t="inlineStr">
        <is>
          <t>BIL-005</t>
        </is>
      </c>
      <c r="B104" s="31" t="inlineStr">
        <is>
          <t>Касса и финансы (Billing)</t>
        </is>
      </c>
      <c r="C104" s="31" t="inlineStr">
        <is>
          <t>Перевод кассы</t>
        </is>
      </c>
      <c r="D104" s="32" t="inlineStr">
        <is>
          <t>Перевод между кассами</t>
        </is>
      </c>
      <c r="E104" s="33" t="inlineStr">
        <is>
          <t>P2</t>
        </is>
      </c>
      <c r="F104" s="33" t="inlineStr">
        <is>
          <t>Functional</t>
        </is>
      </c>
      <c r="G104" s="31" t="inlineStr">
        <is>
          <t>Вход в админку под тестовым аккаунтом (полные права)</t>
        </is>
      </c>
      <c r="H104" s="31" t="inlineStr">
        <is>
          <t>1. Cachier transfer → «New Transfer»
2. «Send»
3. Получатель принимает</t>
        </is>
      </c>
      <c r="I104" s="31" t="inlineStr"/>
      <c r="J104" s="31" t="inlineStr">
        <is>
          <t>Статусы Отправлен → Принят; фильтр «All Statuses»</t>
        </is>
      </c>
      <c r="K104" s="31" t="inlineStr"/>
      <c r="L104" s="33" t="inlineStr">
        <is>
          <t>Да</t>
        </is>
      </c>
      <c r="M104" s="31" t="inlineStr"/>
      <c r="N104" s="33" t="inlineStr">
        <is>
          <t>Не автоматизирован</t>
        </is>
      </c>
      <c r="O104" s="31" t="inlineStr"/>
      <c r="P104" s="33" t="inlineStr">
        <is>
          <t>Не выполнен</t>
        </is>
      </c>
      <c r="Q104" s="31" t="inlineStr"/>
    </row>
    <row r="105" ht="48" customHeight="1">
      <c r="A105" s="30" t="inlineStr">
        <is>
          <t>BIL-006</t>
        </is>
      </c>
      <c r="B105" s="31" t="inlineStr">
        <is>
          <t>Касса и финансы (Billing)</t>
        </is>
      </c>
      <c r="C105" s="31" t="inlineStr">
        <is>
          <t>Перевод баланса</t>
        </is>
      </c>
      <c r="D105" s="32" t="inlineStr">
        <is>
          <t>Перевод денег (Balance transfer)</t>
        </is>
      </c>
      <c r="E105" s="33" t="inlineStr">
        <is>
          <t>P2</t>
        </is>
      </c>
      <c r="F105" s="33" t="inlineStr">
        <is>
          <t>Functional</t>
        </is>
      </c>
      <c r="G105" s="31" t="inlineStr">
        <is>
          <t>Вход в админку под тестовым аккаунтом (полные права)</t>
        </is>
      </c>
      <c r="H105" s="31" t="inlineStr">
        <is>
          <t>1. Balance Transfer → «Send Money»: получатель, сумма, примечание
2. «Send»</t>
        </is>
      </c>
      <c r="I105" s="31" t="inlineStr"/>
      <c r="J105" s="31" t="inlineStr">
        <is>
          <t>Запись с Sender, Receiver, Type, Status, датами</t>
        </is>
      </c>
      <c r="K105" s="31" t="inlineStr"/>
      <c r="L105" s="33" t="inlineStr">
        <is>
          <t>Да</t>
        </is>
      </c>
      <c r="M105" s="31" t="inlineStr"/>
      <c r="N105" s="33" t="inlineStr">
        <is>
          <t>Не автоматизирован</t>
        </is>
      </c>
      <c r="O105" s="31" t="inlineStr"/>
      <c r="P105" s="33" t="inlineStr">
        <is>
          <t>Не выполнен</t>
        </is>
      </c>
      <c r="Q105" s="31" t="inlineStr"/>
    </row>
    <row r="106" ht="34" customHeight="1">
      <c r="A106" s="30" t="inlineStr">
        <is>
          <t>BIL-007</t>
        </is>
      </c>
      <c r="B106" s="31" t="inlineStr">
        <is>
          <t>Касса и финансы (Billing)</t>
        </is>
      </c>
      <c r="C106" s="31" t="inlineStr">
        <is>
          <t>Перевод баланса</t>
        </is>
      </c>
      <c r="D106" s="32" t="inlineStr">
        <is>
          <t>Перевод с нулевой суммой</t>
        </is>
      </c>
      <c r="E106" s="33" t="inlineStr">
        <is>
          <t>P3</t>
        </is>
      </c>
      <c r="F106" s="33" t="inlineStr">
        <is>
          <t>Negative</t>
        </is>
      </c>
      <c r="G106" s="31" t="inlineStr">
        <is>
          <t>Вход в админку под тестовым аккаунтом (полные права)</t>
        </is>
      </c>
      <c r="H106" s="31" t="inlineStr">
        <is>
          <t>1. «Send Money» с 0</t>
        </is>
      </c>
      <c r="I106" s="31" t="inlineStr"/>
      <c r="J106" s="31" t="inlineStr">
        <is>
          <t>Ошибка валидации</t>
        </is>
      </c>
      <c r="K106" s="31" t="inlineStr"/>
      <c r="L106" s="33" t="inlineStr">
        <is>
          <t>Да</t>
        </is>
      </c>
      <c r="M106" s="31" t="inlineStr"/>
      <c r="N106" s="33" t="inlineStr">
        <is>
          <t>Не автоматизирован</t>
        </is>
      </c>
      <c r="O106" s="31" t="inlineStr"/>
      <c r="P106" s="33" t="inlineStr">
        <is>
          <t>Не выполнен</t>
        </is>
      </c>
      <c r="Q106" s="31" t="inlineStr"/>
    </row>
    <row r="107" ht="76" customHeight="1">
      <c r="A107" s="26" t="inlineStr">
        <is>
          <t>USR-001</t>
        </is>
      </c>
      <c r="B107" s="27" t="inlineStr">
        <is>
          <t>Пользователи и роли клиентов</t>
        </is>
      </c>
      <c r="C107" s="27" t="inlineStr">
        <is>
          <t>Пользователи</t>
        </is>
      </c>
      <c r="D107" s="28" t="inlineStr">
        <is>
          <t>Список и фильтры</t>
        </is>
      </c>
      <c r="E107" s="29" t="inlineStr">
        <is>
          <t>P1</t>
        </is>
      </c>
      <c r="F107" s="29" t="inlineStr">
        <is>
          <t>Functional</t>
        </is>
      </c>
      <c r="G107" s="27" t="inlineStr">
        <is>
          <t>Вход в админку под тестовым аккаунтом (полные права)</t>
        </is>
      </c>
      <c r="H107" s="27" t="inlineStr">
        <is>
          <t>1. Users → Users
2. Фильтры: склад, роль, кошелёк (Активен / Заблокирован / Нет кошелька)
3. Сортировка, поиск
4. «Download»</t>
        </is>
      </c>
      <c r="I107" s="27" t="inlineStr"/>
      <c r="J107" s="27" t="inlineStr">
        <is>
          <t>Колонки Id, Name, Phone, Warehouse, User type, Wallet status, Cashback; Excel совпадает с таблицей</t>
        </is>
      </c>
      <c r="K107" s="27" t="inlineStr">
        <is>
          <t>PRD User — List Sorting &amp; Wallet Filter</t>
        </is>
      </c>
      <c r="L107" s="29" t="inlineStr">
        <is>
          <t>Да</t>
        </is>
      </c>
      <c r="M107" s="27" t="inlineStr"/>
      <c r="N107" s="29" t="inlineStr">
        <is>
          <t>Не автоматизирован</t>
        </is>
      </c>
      <c r="O107" s="27" t="inlineStr"/>
      <c r="P107" s="29" t="inlineStr">
        <is>
          <t>Не выполнен</t>
        </is>
      </c>
      <c r="Q107" s="27" t="inlineStr"/>
    </row>
    <row r="108" ht="48" customHeight="1">
      <c r="A108" s="26" t="inlineStr">
        <is>
          <t>USR-002</t>
        </is>
      </c>
      <c r="B108" s="27" t="inlineStr">
        <is>
          <t>Пользователи и роли клиентов</t>
        </is>
      </c>
      <c r="C108" s="27" t="inlineStr">
        <is>
          <t>Пользователи</t>
        </is>
      </c>
      <c r="D108" s="28" t="inlineStr">
        <is>
          <t>Смена роли клиента</t>
        </is>
      </c>
      <c r="E108" s="29" t="inlineStr">
        <is>
          <t>P1</t>
        </is>
      </c>
      <c r="F108" s="29" t="inlineStr">
        <is>
          <t>Functional</t>
        </is>
      </c>
      <c r="G108" s="27" t="inlineStr">
        <is>
          <t>Тестовый клиент</t>
        </is>
      </c>
      <c r="H108" s="27" t="inlineStr">
        <is>
          <t>1. Открыть пользователя → Edit
2. Роль B2C → B2M
3. Сохранить</t>
        </is>
      </c>
      <c r="I108" s="27" t="inlineStr"/>
      <c r="J108" s="27" t="inlineStr">
        <is>
          <t>Роль сохранена, цены на витрине сразу B2M; открытые заказы не меняются</t>
        </is>
      </c>
      <c r="K108" s="27" t="inlineStr">
        <is>
          <t>PRD Mijoz rollari</t>
        </is>
      </c>
      <c r="L108" s="29" t="inlineStr">
        <is>
          <t>Да</t>
        </is>
      </c>
      <c r="M108" s="27" t="inlineStr"/>
      <c r="N108" s="29" t="inlineStr">
        <is>
          <t>Не автоматизирован</t>
        </is>
      </c>
      <c r="O108" s="27" t="inlineStr"/>
      <c r="P108" s="29" t="inlineStr">
        <is>
          <t>Не выполнен</t>
        </is>
      </c>
      <c r="Q108" s="27" t="inlineStr"/>
    </row>
    <row r="109" ht="48" customHeight="1">
      <c r="A109" s="26" t="inlineStr">
        <is>
          <t>USR-003</t>
        </is>
      </c>
      <c r="B109" s="27" t="inlineStr">
        <is>
          <t>Пользователи и роли клиентов</t>
        </is>
      </c>
      <c r="C109" s="27" t="inlineStr">
        <is>
          <t>Роли клиентов</t>
        </is>
      </c>
      <c r="D109" s="28" t="inlineStr">
        <is>
          <t>Создание роли клиента</t>
        </is>
      </c>
      <c r="E109" s="29" t="inlineStr">
        <is>
          <t>P1</t>
        </is>
      </c>
      <c r="F109" s="29" t="inlineStr">
        <is>
          <t>Functional</t>
        </is>
      </c>
      <c r="G109" s="27" t="inlineStr">
        <is>
          <t>Вход в админку под тестовым аккаунтом (полные права)</t>
        </is>
      </c>
      <c r="H109" s="27" t="inlineStr">
        <is>
          <t>1. Users → Client roles → «Add role»: имя, базовый тип, кошелёк, лимит, срок, карта цен по категориям
2. «Save»</t>
        </is>
      </c>
      <c r="I109" s="27" t="inlineStr"/>
      <c r="J109" s="27" t="inlineStr">
        <is>
          <t>Роль в списке; при «как у родителя» категория наследует тип</t>
        </is>
      </c>
      <c r="K109" s="27" t="inlineStr"/>
      <c r="L109" s="29" t="inlineStr">
        <is>
          <t>Да</t>
        </is>
      </c>
      <c r="M109" s="27" t="inlineStr"/>
      <c r="N109" s="29" t="inlineStr">
        <is>
          <t>Не автоматизирован</t>
        </is>
      </c>
      <c r="O109" s="27" t="inlineStr"/>
      <c r="P109" s="29" t="inlineStr">
        <is>
          <t>Не выполнен</t>
        </is>
      </c>
      <c r="Q109" s="27" t="inlineStr"/>
    </row>
    <row r="110" ht="48" customHeight="1">
      <c r="A110" s="26" t="inlineStr">
        <is>
          <t>USR-004</t>
        </is>
      </c>
      <c r="B110" s="27" t="inlineStr">
        <is>
          <t>Пользователи и роли клиентов</t>
        </is>
      </c>
      <c r="C110" s="27" t="inlineStr">
        <is>
          <t>Роли клиентов</t>
        </is>
      </c>
      <c r="D110" s="28" t="inlineStr">
        <is>
          <t>Ограничения ролей</t>
        </is>
      </c>
      <c r="E110" s="29" t="inlineStr">
        <is>
          <t>P2</t>
        </is>
      </c>
      <c r="F110" s="29" t="inlineStr">
        <is>
          <t>Negative</t>
        </is>
      </c>
      <c r="G110" s="27" t="inlineStr">
        <is>
          <t>Системная роль и роль с клиентами</t>
        </is>
      </c>
      <c r="H110" s="27" t="inlineStr">
        <is>
          <t>1. Удалить системную роль B2C/B2M/B2B
2. Удалить роль с клиентами
3. Лимит &gt; 600 000 000 или &gt; 25 дней</t>
        </is>
      </c>
      <c r="I110" s="27" t="inlineStr"/>
      <c r="J110" s="27" t="inlineStr">
        <is>
          <t>Нельзя удалить системную роль и роль с клиентами (причина видна); лимиты выше системных — ошибка</t>
        </is>
      </c>
      <c r="K110" s="27" t="inlineStr"/>
      <c r="L110" s="29" t="inlineStr">
        <is>
          <t>Да</t>
        </is>
      </c>
      <c r="M110" s="27" t="inlineStr"/>
      <c r="N110" s="29" t="inlineStr">
        <is>
          <t>Не автоматизирован</t>
        </is>
      </c>
      <c r="O110" s="27" t="inlineStr"/>
      <c r="P110" s="29" t="inlineStr">
        <is>
          <t>Не выполнен</t>
        </is>
      </c>
      <c r="Q110" s="27" t="inlineStr"/>
    </row>
    <row r="111" ht="34" customHeight="1">
      <c r="A111" s="26" t="inlineStr">
        <is>
          <t>USR-005</t>
        </is>
      </c>
      <c r="B111" s="27" t="inlineStr">
        <is>
          <t>Пользователи и роли клиентов</t>
        </is>
      </c>
      <c r="C111" s="27" t="inlineStr">
        <is>
          <t>Роли клиентов</t>
        </is>
      </c>
      <c r="D111" s="28" t="inlineStr">
        <is>
          <t>Изменение роли с клиентами требует подтверждения</t>
        </is>
      </c>
      <c r="E111" s="29" t="inlineStr">
        <is>
          <t>P2</t>
        </is>
      </c>
      <c r="F111" s="29" t="inlineStr">
        <is>
          <t>Functional</t>
        </is>
      </c>
      <c r="G111" s="27" t="inlineStr">
        <is>
          <t>Роль с N клиентами</t>
        </is>
      </c>
      <c r="H111" s="27" t="inlineStr">
        <is>
          <t>1. Изменить карту цен
2. «Save»</t>
        </is>
      </c>
      <c r="I111" s="27" t="inlineStr"/>
      <c r="J111" s="27" t="inlineStr">
        <is>
          <t>Окно: сколько клиентов затронет, вступает сразу, открытые заказы не меняются</t>
        </is>
      </c>
      <c r="K111" s="27" t="inlineStr"/>
      <c r="L111" s="29" t="inlineStr">
        <is>
          <t>Да</t>
        </is>
      </c>
      <c r="M111" s="27" t="inlineStr"/>
      <c r="N111" s="29" t="inlineStr">
        <is>
          <t>Не автоматизирован</t>
        </is>
      </c>
      <c r="O111" s="27" t="inlineStr"/>
      <c r="P111" s="29" t="inlineStr">
        <is>
          <t>Не выполнен</t>
        </is>
      </c>
      <c r="Q111" s="27" t="inlineStr"/>
    </row>
    <row r="112" ht="34" customHeight="1">
      <c r="A112" s="26" t="inlineStr">
        <is>
          <t>USR-006</t>
        </is>
      </c>
      <c r="B112" s="27" t="inlineStr">
        <is>
          <t>Пользователи и роли клиентов</t>
        </is>
      </c>
      <c r="C112" s="27" t="inlineStr">
        <is>
          <t>Продавец и клиент</t>
        </is>
      </c>
      <c r="D112" s="28" t="inlineStr">
        <is>
          <t>Привязка клиентов к продавцу</t>
        </is>
      </c>
      <c r="E112" s="29" t="inlineStr">
        <is>
          <t>P2</t>
        </is>
      </c>
      <c r="F112" s="29" t="inlineStr">
        <is>
          <t>Functional</t>
        </is>
      </c>
      <c r="G112" s="27" t="inlineStr">
        <is>
          <t>Вход в админку под тестовым аккаунтом (полные права)</t>
        </is>
      </c>
      <c r="H112" s="27" t="inlineStr">
        <is>
          <t>1. Seller &amp; Client → «Create»: продавец, клиенты, дни</t>
        </is>
      </c>
      <c r="I112" s="27" t="inlineStr"/>
      <c r="J112" s="27" t="inlineStr">
        <is>
          <t>Привязка сохранена; без продавца/клиентов/дней — ошибки; конфликт внутри склада подтверждается</t>
        </is>
      </c>
      <c r="K112" s="27" t="inlineStr">
        <is>
          <t>PRD Assigning Customers to Employees</t>
        </is>
      </c>
      <c r="L112" s="29" t="inlineStr">
        <is>
          <t>Да</t>
        </is>
      </c>
      <c r="M112" s="27" t="inlineStr"/>
      <c r="N112" s="29" t="inlineStr">
        <is>
          <t>Не автоматизирован</t>
        </is>
      </c>
      <c r="O112" s="27" t="inlineStr"/>
      <c r="P112" s="29" t="inlineStr">
        <is>
          <t>Не выполнен</t>
        </is>
      </c>
      <c r="Q112" s="27" t="inlineStr"/>
    </row>
    <row r="113" ht="34" customHeight="1">
      <c r="A113" s="26" t="inlineStr">
        <is>
          <t>USR-007</t>
        </is>
      </c>
      <c r="B113" s="27" t="inlineStr">
        <is>
          <t>Пользователи и роли клиентов</t>
        </is>
      </c>
      <c r="C113" s="27" t="inlineStr">
        <is>
          <t>Заявки</t>
        </is>
      </c>
      <c r="D113" s="28" t="inlineStr">
        <is>
          <t>Одобрение заявки «Мастер»</t>
        </is>
      </c>
      <c r="E113" s="29" t="inlineStr">
        <is>
          <t>P1</t>
        </is>
      </c>
      <c r="F113" s="29" t="inlineStr">
        <is>
          <t>Integration</t>
        </is>
      </c>
      <c r="G113" s="27" t="inlineStr">
        <is>
          <t>Клиент подал заявку</t>
        </is>
      </c>
      <c r="H113" s="27" t="inlineStr">
        <is>
          <t>1. Users → User requests
2. Одобрить, выбрать роль B2M</t>
        </is>
      </c>
      <c r="I113" s="27" t="inlineStr"/>
      <c r="J113" s="27" t="inlineStr">
        <is>
          <t>Статус и дата ответа; роль клиента B2M; на витрине — «Мастер» и цены B2M</t>
        </is>
      </c>
      <c r="K113" s="27" t="inlineStr"/>
      <c r="L113" s="29" t="inlineStr">
        <is>
          <t>Да</t>
        </is>
      </c>
      <c r="M113" s="27" t="inlineStr"/>
      <c r="N113" s="29" t="inlineStr">
        <is>
          <t>Не автоматизирован</t>
        </is>
      </c>
      <c r="O113" s="27" t="inlineStr"/>
      <c r="P113" s="29" t="inlineStr">
        <is>
          <t>Не выполнен</t>
        </is>
      </c>
      <c r="Q113" s="27" t="inlineStr"/>
    </row>
    <row r="114" ht="34" customHeight="1">
      <c r="A114" s="26" t="inlineStr">
        <is>
          <t>USR-008</t>
        </is>
      </c>
      <c r="B114" s="27" t="inlineStr">
        <is>
          <t>Пользователи и роли клиентов</t>
        </is>
      </c>
      <c r="C114" s="27" t="inlineStr">
        <is>
          <t>Заявки</t>
        </is>
      </c>
      <c r="D114" s="28" t="inlineStr">
        <is>
          <t>Отклонение заявки</t>
        </is>
      </c>
      <c r="E114" s="29" t="inlineStr">
        <is>
          <t>P3</t>
        </is>
      </c>
      <c r="F114" s="29" t="inlineStr">
        <is>
          <t>Functional</t>
        </is>
      </c>
      <c r="G114" s="27" t="inlineStr">
        <is>
          <t>Есть заявка</t>
        </is>
      </c>
      <c r="H114" s="27" t="inlineStr">
        <is>
          <t>1. Отклонить</t>
        </is>
      </c>
      <c r="I114" s="27" t="inlineStr"/>
      <c r="J114" s="27" t="inlineStr">
        <is>
          <t>Статус «Отклонён», роль не изменилась</t>
        </is>
      </c>
      <c r="K114" s="27" t="inlineStr"/>
      <c r="L114" s="29" t="inlineStr">
        <is>
          <t>Да</t>
        </is>
      </c>
      <c r="M114" s="27" t="inlineStr"/>
      <c r="N114" s="29" t="inlineStr">
        <is>
          <t>Не автоматизирован</t>
        </is>
      </c>
      <c r="O114" s="27" t="inlineStr"/>
      <c r="P114" s="29" t="inlineStr">
        <is>
          <t>Не выполнен</t>
        </is>
      </c>
      <c r="Q114" s="27" t="inlineStr"/>
    </row>
    <row r="115" ht="48" customHeight="1">
      <c r="A115" s="30" t="inlineStr">
        <is>
          <t>REQ-001</t>
        </is>
      </c>
      <c r="B115" s="31" t="inlineStr">
        <is>
          <t>Запросы клиентов</t>
        </is>
      </c>
      <c r="C115" s="31" t="inlineStr">
        <is>
          <t>Хотел бы купить</t>
        </is>
      </c>
      <c r="D115" s="32" t="inlineStr">
        <is>
          <t>Список и фильтры «Would buy»</t>
        </is>
      </c>
      <c r="E115" s="33" t="inlineStr">
        <is>
          <t>P2</t>
        </is>
      </c>
      <c r="F115" s="33" t="inlineStr">
        <is>
          <t>Functional</t>
        </is>
      </c>
      <c r="G115" s="31" t="inlineStr">
        <is>
          <t>Вход в админку под тестовым аккаунтом (полные права)</t>
        </is>
      </c>
      <c r="H115" s="31" t="inlineStr">
        <is>
          <t>1. Requests → Would buy
2. Фильтры: дата, статус, склад
3. «Download»</t>
        </is>
      </c>
      <c r="I115" s="31" t="inlineStr"/>
      <c r="J115" s="31" t="inlineStr">
        <is>
          <t>Колонки ID, клиент, товар, кол-во, филиал, статус, описание, дата закрытия, исполнитель, дней до закрытия</t>
        </is>
      </c>
      <c r="K115" s="31" t="inlineStr"/>
      <c r="L115" s="33" t="inlineStr">
        <is>
          <t>Да</t>
        </is>
      </c>
      <c r="M115" s="31" t="inlineStr"/>
      <c r="N115" s="33" t="inlineStr">
        <is>
          <t>Не автоматизирован</t>
        </is>
      </c>
      <c r="O115" s="31" t="inlineStr"/>
      <c r="P115" s="33" t="inlineStr">
        <is>
          <t>Не выполнен</t>
        </is>
      </c>
      <c r="Q115" s="31" t="inlineStr"/>
    </row>
    <row r="116" ht="34" customHeight="1">
      <c r="A116" s="30" t="inlineStr">
        <is>
          <t>REQ-002</t>
        </is>
      </c>
      <c r="B116" s="31" t="inlineStr">
        <is>
          <t>Запросы клиентов</t>
        </is>
      </c>
      <c r="C116" s="31" t="inlineStr">
        <is>
          <t>Хотел бы купить</t>
        </is>
      </c>
      <c r="D116" s="32" t="inlineStr">
        <is>
          <t>Ручное закрытие с комментарием</t>
        </is>
      </c>
      <c r="E116" s="33" t="inlineStr">
        <is>
          <t>P2</t>
        </is>
      </c>
      <c r="F116" s="33" t="inlineStr">
        <is>
          <t>Functional</t>
        </is>
      </c>
      <c r="G116" s="31" t="inlineStr">
        <is>
          <t>Запросы «Yangi»</t>
        </is>
      </c>
      <c r="H116" s="31" t="inlineStr">
        <is>
          <t>1. Выбрать один или несколько
2. Закрыть</t>
        </is>
      </c>
      <c r="I116" s="31" t="inlineStr"/>
      <c r="J116" s="31" t="inlineStr">
        <is>
          <t>Комментарий обязателен; статус «Tugallangan», повторно не открывается и не выбирается</t>
        </is>
      </c>
      <c r="K116" s="31" t="inlineStr">
        <is>
          <t>PRD Bo'lsa olar edim (WBA-5, WBA-12)</t>
        </is>
      </c>
      <c r="L116" s="33" t="inlineStr">
        <is>
          <t>Да</t>
        </is>
      </c>
      <c r="M116" s="31" t="inlineStr"/>
      <c r="N116" s="33" t="inlineStr">
        <is>
          <t>Не автоматизирован</t>
        </is>
      </c>
      <c r="O116" s="31" t="inlineStr"/>
      <c r="P116" s="33" t="inlineStr">
        <is>
          <t>Не выполнен</t>
        </is>
      </c>
      <c r="Q116" s="31" t="inlineStr"/>
    </row>
    <row r="117" ht="34" customHeight="1">
      <c r="A117" s="30" t="inlineStr">
        <is>
          <t>REQ-003</t>
        </is>
      </c>
      <c r="B117" s="31" t="inlineStr">
        <is>
          <t>Запросы клиентов</t>
        </is>
      </c>
      <c r="C117" s="31" t="inlineStr">
        <is>
          <t>Жалобы</t>
        </is>
      </c>
      <c r="D117" s="32" t="inlineStr">
        <is>
          <t>Жалобы и предложения</t>
        </is>
      </c>
      <c r="E117" s="33" t="inlineStr">
        <is>
          <t>P3</t>
        </is>
      </c>
      <c r="F117" s="33" t="inlineStr">
        <is>
          <t>Functional</t>
        </is>
      </c>
      <c r="G117" s="31" t="inlineStr">
        <is>
          <t>Клиент отправил отзыв</t>
        </is>
      </c>
      <c r="H117" s="31" t="inlineStr">
        <is>
          <t>1. Requests → Complaints and suggestions
2. Фильтр, смена статуса</t>
        </is>
      </c>
      <c r="I117" s="31" t="inlineStr"/>
      <c r="J117" s="31" t="inlineStr">
        <is>
          <t>Отзыв в списке, статус меняется</t>
        </is>
      </c>
      <c r="K117" s="31" t="inlineStr"/>
      <c r="L117" s="33" t="inlineStr">
        <is>
          <t>Да</t>
        </is>
      </c>
      <c r="M117" s="31" t="inlineStr"/>
      <c r="N117" s="33" t="inlineStr">
        <is>
          <t>Не автоматизирован</t>
        </is>
      </c>
      <c r="O117" s="31" t="inlineStr"/>
      <c r="P117" s="33" t="inlineStr">
        <is>
          <t>Не выполнен</t>
        </is>
      </c>
      <c r="Q117" s="31" t="inlineStr"/>
    </row>
    <row r="118" ht="34" customHeight="1">
      <c r="A118" s="30" t="inlineStr">
        <is>
          <t>REQ-004</t>
        </is>
      </c>
      <c r="B118" s="31" t="inlineStr">
        <is>
          <t>Запросы клиентов</t>
        </is>
      </c>
      <c r="C118" s="31" t="inlineStr">
        <is>
          <t>Нашли дешевле</t>
        </is>
      </c>
      <c r="D118" s="32" t="inlineStr">
        <is>
          <t>Заявки «Find cheaper one?»</t>
        </is>
      </c>
      <c r="E118" s="33" t="inlineStr">
        <is>
          <t>P2</t>
        </is>
      </c>
      <c r="F118" s="33" t="inlineStr">
        <is>
          <t>Integration</t>
        </is>
      </c>
      <c r="G118" s="31" t="inlineStr">
        <is>
          <t>Клиент отправил форму «Нашли дешевле?»</t>
        </is>
      </c>
      <c r="H118" s="31" t="inlineStr">
        <is>
          <t>1. Requests → Find cheaper one?</t>
        </is>
      </c>
      <c r="I118" s="31" t="inlineStr"/>
      <c r="J118" s="31" t="inlineStr">
        <is>
          <t>Заявка с ФИО, телефоном, описанием; создан чат «Arzonini topdingizmi»</t>
        </is>
      </c>
      <c r="K118" s="31" t="inlineStr"/>
      <c r="L118" s="33" t="inlineStr">
        <is>
          <t>Да</t>
        </is>
      </c>
      <c r="M118" s="31" t="inlineStr"/>
      <c r="N118" s="33" t="inlineStr">
        <is>
          <t>Не автоматизирован</t>
        </is>
      </c>
      <c r="O118" s="31" t="inlineStr"/>
      <c r="P118" s="33" t="inlineStr">
        <is>
          <t>Не выполнен</t>
        </is>
      </c>
      <c r="Q118" s="31" t="inlineStr"/>
    </row>
    <row r="119" ht="48" customHeight="1">
      <c r="A119" s="26" t="inlineStr">
        <is>
          <t>WH-001</t>
        </is>
      </c>
      <c r="B119" s="27" t="inlineStr">
        <is>
          <t>Склады</t>
        </is>
      </c>
      <c r="C119" s="27" t="inlineStr">
        <is>
          <t>Склады</t>
        </is>
      </c>
      <c r="D119" s="28" t="inlineStr">
        <is>
          <t>Список и создание склада</t>
        </is>
      </c>
      <c r="E119" s="29" t="inlineStr">
        <is>
          <t>P2</t>
        </is>
      </c>
      <c r="F119" s="29" t="inlineStr">
        <is>
          <t>Functional</t>
        </is>
      </c>
      <c r="G119" s="27" t="inlineStr">
        <is>
          <t>Вход в админку под тестовым аккаунтом (полные права)</t>
        </is>
      </c>
      <c r="H119" s="27" t="inlineStr">
        <is>
          <t>1. Warehouse → Warehouses → «Create»: названия, адрес, телефон, регион, район, родитель, координаты, Active, Office</t>
        </is>
      </c>
      <c r="I119" s="27" t="inlineStr"/>
      <c r="J119" s="27" t="inlineStr">
        <is>
          <t>Склад создан; статус в списке</t>
        </is>
      </c>
      <c r="K119" s="27" t="inlineStr"/>
      <c r="L119" s="29" t="inlineStr">
        <is>
          <t>Да</t>
        </is>
      </c>
      <c r="M119" s="27" t="inlineStr"/>
      <c r="N119" s="29" t="inlineStr">
        <is>
          <t>Не автоматизирован</t>
        </is>
      </c>
      <c r="O119" s="27" t="inlineStr"/>
      <c r="P119" s="29" t="inlineStr">
        <is>
          <t>Не выполнен</t>
        </is>
      </c>
      <c r="Q119" s="27" t="inlineStr"/>
    </row>
    <row r="120" ht="34" customHeight="1">
      <c r="A120" s="26" t="inlineStr">
        <is>
          <t>WH-002</t>
        </is>
      </c>
      <c r="B120" s="27" t="inlineStr">
        <is>
          <t>Склады</t>
        </is>
      </c>
      <c r="C120" s="27" t="inlineStr">
        <is>
          <t>Склады</t>
        </is>
      </c>
      <c r="D120" s="28" t="inlineStr">
        <is>
          <t>Приостановка и закрытие склада</t>
        </is>
      </c>
      <c r="E120" s="29" t="inlineStr">
        <is>
          <t>P2</t>
        </is>
      </c>
      <c r="F120" s="29" t="inlineStr">
        <is>
          <t>Functional</t>
        </is>
      </c>
      <c r="G120" s="27" t="inlineStr">
        <is>
          <t>Тестовый склад</t>
        </is>
      </c>
      <c r="H120" s="27" t="inlineStr">
        <is>
          <t>1. Приостановить с причиной
2. Возобновить</t>
        </is>
      </c>
      <c r="I120" s="27" t="inlineStr"/>
      <c r="J120" s="27" t="inlineStr">
        <is>
          <t>Причина и автор в истории; склад исключён из автоперемещения</t>
        </is>
      </c>
      <c r="K120" s="27" t="inlineStr">
        <is>
          <t>PRD Warehouse list</t>
        </is>
      </c>
      <c r="L120" s="29" t="inlineStr">
        <is>
          <t>Частично</t>
        </is>
      </c>
      <c r="M120" s="27" t="inlineStr">
        <is>
          <t>Только на тестовом складе</t>
        </is>
      </c>
      <c r="N120" s="29" t="inlineStr">
        <is>
          <t>Не автоматизирован</t>
        </is>
      </c>
      <c r="O120" s="27" t="inlineStr"/>
      <c r="P120" s="29" t="inlineStr">
        <is>
          <t>Не выполнен</t>
        </is>
      </c>
      <c r="Q120" s="27" t="inlineStr"/>
    </row>
    <row r="121" ht="34" customHeight="1">
      <c r="A121" s="26" t="inlineStr">
        <is>
          <t>WH-003</t>
        </is>
      </c>
      <c r="B121" s="27" t="inlineStr">
        <is>
          <t>Склады</t>
        </is>
      </c>
      <c r="C121" s="27" t="inlineStr">
        <is>
          <t>Порядок</t>
        </is>
      </c>
      <c r="D121" s="28" t="inlineStr">
        <is>
          <t>Порядок складов для заказа</t>
        </is>
      </c>
      <c r="E121" s="29" t="inlineStr">
        <is>
          <t>P3</t>
        </is>
      </c>
      <c r="F121" s="29" t="inlineStr">
        <is>
          <t>Functional</t>
        </is>
      </c>
      <c r="G121" s="27" t="inlineStr">
        <is>
          <t>Вход в админку под тестовым аккаунтом (полные права)</t>
        </is>
      </c>
      <c r="H121" s="27" t="inlineStr">
        <is>
          <t>1. Warehouse ordering — изменить приоритет</t>
        </is>
      </c>
      <c r="I121" s="27" t="inlineStr"/>
      <c r="J121" s="27" t="inlineStr">
        <is>
          <t>Приоритет сохранён и влияет на склад-поставщик в корзине</t>
        </is>
      </c>
      <c r="K121" s="27" t="inlineStr"/>
      <c r="L121" s="29" t="inlineStr">
        <is>
          <t>Частично</t>
        </is>
      </c>
      <c r="M121" s="27" t="inlineStr"/>
      <c r="N121" s="29" t="inlineStr">
        <is>
          <t>Не автоматизирован</t>
        </is>
      </c>
      <c r="O121" s="27" t="inlineStr"/>
      <c r="P121" s="29" t="inlineStr">
        <is>
          <t>Не выполнен</t>
        </is>
      </c>
      <c r="Q121" s="27" t="inlineStr"/>
    </row>
    <row r="122" ht="48" customHeight="1">
      <c r="A122" s="26" t="inlineStr">
        <is>
          <t>WH-004</t>
        </is>
      </c>
      <c r="B122" s="27" t="inlineStr">
        <is>
          <t>Склады</t>
        </is>
      </c>
      <c r="C122" s="27" t="inlineStr">
        <is>
          <t>Сотрудники</t>
        </is>
      </c>
      <c r="D122" s="28" t="inlineStr">
        <is>
          <t>Сотрудники склада</t>
        </is>
      </c>
      <c r="E122" s="29" t="inlineStr">
        <is>
          <t>P2</t>
        </is>
      </c>
      <c r="F122" s="29" t="inlineStr">
        <is>
          <t>Functional</t>
        </is>
      </c>
      <c r="G122" s="27" t="inlineStr">
        <is>
          <t>Вход в админку под тестовым аккаунтом (полные права)</t>
        </is>
      </c>
      <c r="H122" s="27" t="inlineStr">
        <is>
          <t>1. Warehouse workers → «Create»: сотрудник, склад, роль
2. Фильтр по складу</t>
        </is>
      </c>
      <c r="I122" s="27" t="inlineStr"/>
      <c r="J122" s="27" t="inlineStr">
        <is>
          <t>Сотрудник привязан; доступ ограничен этим складом</t>
        </is>
      </c>
      <c r="K122" s="27" t="inlineStr"/>
      <c r="L122" s="29" t="inlineStr">
        <is>
          <t>Да</t>
        </is>
      </c>
      <c r="M122" s="27" t="inlineStr"/>
      <c r="N122" s="29" t="inlineStr">
        <is>
          <t>Не автоматизирован</t>
        </is>
      </c>
      <c r="O122" s="27" t="inlineStr"/>
      <c r="P122" s="29" t="inlineStr">
        <is>
          <t>Не выполнен</t>
        </is>
      </c>
      <c r="Q122" s="27" t="inlineStr"/>
    </row>
    <row r="123" ht="34" customHeight="1">
      <c r="A123" s="26" t="inlineStr">
        <is>
          <t>WH-005</t>
        </is>
      </c>
      <c r="B123" s="27" t="inlineStr">
        <is>
          <t>Склады</t>
        </is>
      </c>
      <c r="C123" s="27" t="inlineStr">
        <is>
          <t>Автоперемещение</t>
        </is>
      </c>
      <c r="D123" s="28" t="inlineStr">
        <is>
          <t>Создание группы автоперемещения</t>
        </is>
      </c>
      <c r="E123" s="29" t="inlineStr">
        <is>
          <t>P2</t>
        </is>
      </c>
      <c r="F123" s="29" t="inlineStr">
        <is>
          <t>Functional</t>
        </is>
      </c>
      <c r="G123" s="27" t="inlineStr">
        <is>
          <t>Вход в админку под тестовым аккаунтом (полные права)</t>
        </is>
      </c>
      <c r="H123" s="27" t="inlineStr">
        <is>
          <t>1. Auto-transfer → «Create»: имя, тип (Frozen / Restock / Zakas cycle), Active, цикл, время, склады</t>
        </is>
      </c>
      <c r="I123" s="27" t="inlineStr"/>
      <c r="J123" s="27" t="inlineStr">
        <is>
          <t>Группа создана; видно следующее время запуска</t>
        </is>
      </c>
      <c r="K123" s="27" t="inlineStr"/>
      <c r="L123" s="29" t="inlineStr">
        <is>
          <t>Да</t>
        </is>
      </c>
      <c r="M123" s="27" t="inlineStr"/>
      <c r="N123" s="29" t="inlineStr">
        <is>
          <t>Не автоматизирован</t>
        </is>
      </c>
      <c r="O123" s="27" t="inlineStr"/>
      <c r="P123" s="29" t="inlineStr">
        <is>
          <t>Не выполнен</t>
        </is>
      </c>
      <c r="Q123" s="27" t="inlineStr"/>
    </row>
    <row r="124" ht="34" customHeight="1">
      <c r="A124" s="26" t="inlineStr">
        <is>
          <t>WH-006</t>
        </is>
      </c>
      <c r="B124" s="27" t="inlineStr">
        <is>
          <t>Склады</t>
        </is>
      </c>
      <c r="C124" s="27" t="inlineStr">
        <is>
          <t>Автоперемещение</t>
        </is>
      </c>
      <c r="D124" s="28" t="inlineStr">
        <is>
          <t>Запуск создаёт только запросы</t>
        </is>
      </c>
      <c r="E124" s="29" t="inlineStr">
        <is>
          <t>P2</t>
        </is>
      </c>
      <c r="F124" s="29" t="inlineStr">
        <is>
          <t>Integration</t>
        </is>
      </c>
      <c r="G124" s="27" t="inlineStr">
        <is>
          <t>Активная группа</t>
        </is>
      </c>
      <c r="H124" s="27" t="inlineStr">
        <is>
          <t>1. Дождаться запуска / Run history</t>
        </is>
      </c>
      <c r="I124" s="27" t="inlineStr"/>
      <c r="J124" s="27" t="inlineStr">
        <is>
          <t>Созданы перемещения типа «Запрос»; приостановленные склады пропущены</t>
        </is>
      </c>
      <c r="K124" s="27" t="inlineStr">
        <is>
          <t>PRD Avto o'tkazma</t>
        </is>
      </c>
      <c r="L124" s="29" t="inlineStr">
        <is>
          <t>Частично</t>
        </is>
      </c>
      <c r="M124" s="27" t="inlineStr"/>
      <c r="N124" s="29" t="inlineStr">
        <is>
          <t>Не автоматизирован</t>
        </is>
      </c>
      <c r="O124" s="27" t="inlineStr"/>
      <c r="P124" s="29" t="inlineStr">
        <is>
          <t>Не выполнен</t>
        </is>
      </c>
      <c r="Q124" s="27" t="inlineStr"/>
    </row>
    <row r="125" ht="34" customHeight="1">
      <c r="A125" s="26" t="inlineStr">
        <is>
          <t>WH-007</t>
        </is>
      </c>
      <c r="B125" s="27" t="inlineStr">
        <is>
          <t>Склады</t>
        </is>
      </c>
      <c r="C125" s="27" t="inlineStr">
        <is>
          <t>Рейтинг</t>
        </is>
      </c>
      <c r="D125" s="28" t="inlineStr">
        <is>
          <t>Рейтинг складов</t>
        </is>
      </c>
      <c r="E125" s="29" t="inlineStr">
        <is>
          <t>P3</t>
        </is>
      </c>
      <c r="F125" s="29" t="inlineStr">
        <is>
          <t>Functional</t>
        </is>
      </c>
      <c r="G125" s="27" t="inlineStr">
        <is>
          <t>Вход в админку под тестовым аккаунтом (полные права)</t>
        </is>
      </c>
      <c r="H125" s="27" t="inlineStr">
        <is>
          <t>1. Warehouse rating: фильтр, «Download»</t>
        </is>
      </c>
      <c r="I125" s="27" t="inlineStr"/>
      <c r="J125" s="27" t="inlineStr">
        <is>
          <t>Средняя оценка, кол-во оценённых заказов, распределение</t>
        </is>
      </c>
      <c r="K125" s="27" t="inlineStr"/>
      <c r="L125" s="29" t="inlineStr">
        <is>
          <t>Да</t>
        </is>
      </c>
      <c r="M125" s="27" t="inlineStr"/>
      <c r="N125" s="29" t="inlineStr">
        <is>
          <t>Не автоматизирован</t>
        </is>
      </c>
      <c r="O125" s="27" t="inlineStr"/>
      <c r="P125" s="29" t="inlineStr">
        <is>
          <t>Не выполнен</t>
        </is>
      </c>
      <c r="Q125" s="27" t="inlineStr"/>
    </row>
    <row r="126" ht="48" customHeight="1">
      <c r="A126" s="30" t="inlineStr">
        <is>
          <t>CUR-001</t>
        </is>
      </c>
      <c r="B126" s="31" t="inlineStr">
        <is>
          <t>Валюта</t>
        </is>
      </c>
      <c r="C126" s="31" t="inlineStr">
        <is>
          <t>Курсы</t>
        </is>
      </c>
      <c r="D126" s="32" t="inlineStr">
        <is>
          <t>Создание курса валюты</t>
        </is>
      </c>
      <c r="E126" s="33" t="inlineStr">
        <is>
          <t>P2</t>
        </is>
      </c>
      <c r="F126" s="33" t="inlineStr">
        <is>
          <t>Functional</t>
        </is>
      </c>
      <c r="G126" s="31" t="inlineStr">
        <is>
          <t>Вход в админку под тестовым аккаунтом (полные права)</t>
        </is>
      </c>
      <c r="H126" s="31" t="inlineStr">
        <is>
          <t>1. Currency rates → «Create rate»: базовая, целевая, курс
2. «Confirm»</t>
        </is>
      </c>
      <c r="I126" s="31" t="inlineStr"/>
      <c r="J126" s="31" t="inlineStr">
        <is>
          <t>Курс в списке; используется в приходе и кассе; цена в $ на витрине пересчитана</t>
        </is>
      </c>
      <c r="K126" s="31" t="inlineStr"/>
      <c r="L126" s="33" t="inlineStr">
        <is>
          <t>Да</t>
        </is>
      </c>
      <c r="M126" s="31" t="inlineStr"/>
      <c r="N126" s="33" t="inlineStr">
        <is>
          <t>Не автоматизирован</t>
        </is>
      </c>
      <c r="O126" s="31" t="inlineStr"/>
      <c r="P126" s="33" t="inlineStr">
        <is>
          <t>Не выполнен</t>
        </is>
      </c>
      <c r="Q126" s="31" t="inlineStr"/>
    </row>
    <row r="127" ht="34" customHeight="1">
      <c r="A127" s="30" t="inlineStr">
        <is>
          <t>CUR-002</t>
        </is>
      </c>
      <c r="B127" s="31" t="inlineStr">
        <is>
          <t>Валюта</t>
        </is>
      </c>
      <c r="C127" s="31" t="inlineStr">
        <is>
          <t>Курсы</t>
        </is>
      </c>
      <c r="D127" s="32" t="inlineStr">
        <is>
          <t>Невалидный курс</t>
        </is>
      </c>
      <c r="E127" s="33" t="inlineStr">
        <is>
          <t>P3</t>
        </is>
      </c>
      <c r="F127" s="33" t="inlineStr">
        <is>
          <t>Negative</t>
        </is>
      </c>
      <c r="G127" s="31" t="inlineStr">
        <is>
          <t>Вход в админку под тестовым аккаунтом (полные права)</t>
        </is>
      </c>
      <c r="H127" s="31" t="inlineStr">
        <is>
          <t>1. Курс 0 / отрицательный / без валют</t>
        </is>
      </c>
      <c r="I127" s="31" t="inlineStr"/>
      <c r="J127" s="31" t="inlineStr">
        <is>
          <t>Ошибка валидации</t>
        </is>
      </c>
      <c r="K127" s="31" t="inlineStr"/>
      <c r="L127" s="33" t="inlineStr">
        <is>
          <t>Да</t>
        </is>
      </c>
      <c r="M127" s="31" t="inlineStr"/>
      <c r="N127" s="33" t="inlineStr">
        <is>
          <t>Не автоматизирован</t>
        </is>
      </c>
      <c r="O127" s="31" t="inlineStr"/>
      <c r="P127" s="33" t="inlineStr">
        <is>
          <t>Не выполнен</t>
        </is>
      </c>
      <c r="Q127" s="31" t="inlineStr"/>
    </row>
    <row r="128" ht="34" customHeight="1">
      <c r="A128" s="26" t="inlineStr">
        <is>
          <t>BAN-001</t>
        </is>
      </c>
      <c r="B128" s="27" t="inlineStr">
        <is>
          <t>Баннеры</t>
        </is>
      </c>
      <c r="C128" s="27" t="inlineStr">
        <is>
          <t>Баннеры</t>
        </is>
      </c>
      <c r="D128" s="28" t="inlineStr">
        <is>
          <t>Создание баннера</t>
        </is>
      </c>
      <c r="E128" s="29" t="inlineStr">
        <is>
          <t>P2</t>
        </is>
      </c>
      <c r="F128" s="29" t="inlineStr">
        <is>
          <t>Functional</t>
        </is>
      </c>
      <c r="G128" s="27" t="inlineStr">
        <is>
          <t>Вход в админку под тестовым аккаунтом (полные права)</t>
        </is>
      </c>
      <c r="H128" s="27" t="inlineStr">
        <is>
          <t>1. Banners → создать: изображение, тип, описание, склады</t>
        </is>
      </c>
      <c r="I128" s="27" t="inlineStr"/>
      <c r="J128" s="27" t="inlineStr">
        <is>
          <t>Баннер в списке и в слайдере витрины для этих складов</t>
        </is>
      </c>
      <c r="K128" s="27" t="inlineStr"/>
      <c r="L128" s="29" t="inlineStr">
        <is>
          <t>Да</t>
        </is>
      </c>
      <c r="M128" s="27" t="inlineStr"/>
      <c r="N128" s="29" t="inlineStr">
        <is>
          <t>Не автоматизирован</t>
        </is>
      </c>
      <c r="O128" s="27" t="inlineStr"/>
      <c r="P128" s="29" t="inlineStr">
        <is>
          <t>Не выполнен</t>
        </is>
      </c>
      <c r="Q128" s="27" t="inlineStr"/>
    </row>
    <row r="129" ht="34" customHeight="1">
      <c r="A129" s="26" t="inlineStr">
        <is>
          <t>BAN-002</t>
        </is>
      </c>
      <c r="B129" s="27" t="inlineStr">
        <is>
          <t>Баннеры</t>
        </is>
      </c>
      <c r="C129" s="27" t="inlineStr">
        <is>
          <t>Баннеры</t>
        </is>
      </c>
      <c r="D129" s="28" t="inlineStr">
        <is>
          <t>Удаление баннера</t>
        </is>
      </c>
      <c r="E129" s="29" t="inlineStr">
        <is>
          <t>P3</t>
        </is>
      </c>
      <c r="F129" s="29" t="inlineStr">
        <is>
          <t>Functional</t>
        </is>
      </c>
      <c r="G129" s="27" t="inlineStr">
        <is>
          <t>Тестовый баннер</t>
        </is>
      </c>
      <c r="H129" s="27" t="inlineStr">
        <is>
          <t>1. «Delete»</t>
        </is>
      </c>
      <c r="I129" s="27" t="inlineStr"/>
      <c r="J129" s="27" t="inlineStr">
        <is>
          <t>Баннер исчез из админки и с витрины</t>
        </is>
      </c>
      <c r="K129" s="27" t="inlineStr"/>
      <c r="L129" s="29" t="inlineStr">
        <is>
          <t>Да</t>
        </is>
      </c>
      <c r="M129" s="27" t="inlineStr"/>
      <c r="N129" s="29" t="inlineStr">
        <is>
          <t>Не автоматизирован</t>
        </is>
      </c>
      <c r="O129" s="27" t="inlineStr"/>
      <c r="P129" s="29" t="inlineStr">
        <is>
          <t>Не выполнен</t>
        </is>
      </c>
      <c r="Q129" s="27" t="inlineStr"/>
    </row>
    <row r="130" ht="34" customHeight="1">
      <c r="A130" s="30" t="inlineStr">
        <is>
          <t>DEBT-001</t>
        </is>
      </c>
      <c r="B130" s="31" t="inlineStr">
        <is>
          <t>Долг и кошелёк</t>
        </is>
      </c>
      <c r="C130" s="31" t="inlineStr">
        <is>
          <t>Кошельки</t>
        </is>
      </c>
      <c r="D130" s="32" t="inlineStr">
        <is>
          <t>Список кошельков</t>
        </is>
      </c>
      <c r="E130" s="33" t="inlineStr">
        <is>
          <t>P3</t>
        </is>
      </c>
      <c r="F130" s="33" t="inlineStr">
        <is>
          <t>UI</t>
        </is>
      </c>
      <c r="G130" s="31" t="inlineStr">
        <is>
          <t>Вход в админку под тестовым аккаунтом (полные права)</t>
        </is>
      </c>
      <c r="H130" s="31" t="inlineStr">
        <is>
          <t>1. Debt &amp; Wallet → Wallet</t>
        </is>
      </c>
      <c r="I130" s="31" t="inlineStr"/>
      <c r="J130" s="31" t="inlineStr">
        <is>
          <t>Колонки Name, Wallet balance, Phone, Status</t>
        </is>
      </c>
      <c r="K130" s="31" t="inlineStr"/>
      <c r="L130" s="33" t="inlineStr">
        <is>
          <t>Да</t>
        </is>
      </c>
      <c r="M130" s="31" t="inlineStr"/>
      <c r="N130" s="33" t="inlineStr">
        <is>
          <t>Не автоматизирован</t>
        </is>
      </c>
      <c r="O130" s="31" t="inlineStr"/>
      <c r="P130" s="33" t="inlineStr">
        <is>
          <t>Не выполнен</t>
        </is>
      </c>
      <c r="Q130" s="31" t="inlineStr"/>
    </row>
    <row r="131" ht="48" customHeight="1">
      <c r="A131" s="30" t="inlineStr">
        <is>
          <t>DEBT-002</t>
        </is>
      </c>
      <c r="B131" s="31" t="inlineStr">
        <is>
          <t>Долг и кошелёк</t>
        </is>
      </c>
      <c r="C131" s="31" t="inlineStr">
        <is>
          <t>Транзакции</t>
        </is>
      </c>
      <c r="D131" s="32" t="inlineStr">
        <is>
          <t>Транзакции кошелька: фильтры, поиск, сортировка</t>
        </is>
      </c>
      <c r="E131" s="33" t="inlineStr">
        <is>
          <t>P2</t>
        </is>
      </c>
      <c r="F131" s="33" t="inlineStr">
        <is>
          <t>Functional</t>
        </is>
      </c>
      <c r="G131" s="31" t="inlineStr">
        <is>
          <t>Вход в админку под тестовым аккаунтом (полные права)</t>
        </is>
      </c>
      <c r="H131" s="31" t="inlineStr">
        <is>
          <t>1. Wallet transactions
2. Фильтр, поиск TX-ID/телефон, сортировка</t>
        </is>
      </c>
      <c r="I131" s="31" t="inlineStr"/>
      <c r="J131" s="31" t="inlineStr">
        <is>
          <t>Таблица из 12 колонок; поиск игнорирует «TX-»; сортировка desc → asc → по умолчанию; итоги по всему фильтру</t>
        </is>
      </c>
      <c r="K131" s="31" t="inlineStr">
        <is>
          <t>PRD Wallet</t>
        </is>
      </c>
      <c r="L131" s="33" t="inlineStr">
        <is>
          <t>Да</t>
        </is>
      </c>
      <c r="M131" s="31" t="inlineStr"/>
      <c r="N131" s="33" t="inlineStr">
        <is>
          <t>Не автоматизирован</t>
        </is>
      </c>
      <c r="O131" s="31" t="inlineStr"/>
      <c r="P131" s="33" t="inlineStr">
        <is>
          <t>Не выполнен</t>
        </is>
      </c>
      <c r="Q131" s="31" t="inlineStr"/>
    </row>
    <row r="132" ht="48" customHeight="1">
      <c r="A132" s="30" t="inlineStr">
        <is>
          <t>DEBT-003</t>
        </is>
      </c>
      <c r="B132" s="31" t="inlineStr">
        <is>
          <t>Долг и кошелёк</t>
        </is>
      </c>
      <c r="C132" s="31" t="inlineStr">
        <is>
          <t>Транзакции</t>
        </is>
      </c>
      <c r="D132" s="32" t="inlineStr">
        <is>
          <t>Пополнение и списание кошелька</t>
        </is>
      </c>
      <c r="E132" s="33" t="inlineStr">
        <is>
          <t>P1</t>
        </is>
      </c>
      <c r="F132" s="33" t="inlineStr">
        <is>
          <t>Functional</t>
        </is>
      </c>
      <c r="G132" s="31" t="inlineStr">
        <is>
          <t>Тестовый мастер</t>
        </is>
      </c>
      <c r="H132" s="31" t="inlineStr">
        <is>
          <t>1. Пополнить: пользователь, склад, сумма &gt; 0
2. Списать сумму &gt; баланса, затем весь баланс</t>
        </is>
      </c>
      <c r="I132" s="31" t="inlineStr"/>
      <c r="J132" s="31" t="inlineStr">
        <is>
          <t>Пополнение и списание записаны с исполнителем; списать больше баланса нельзя; весь баланс — можно; клиент видит в «Транзакции кошелька»</t>
        </is>
      </c>
      <c r="K132" s="31" t="inlineStr"/>
      <c r="L132" s="33" t="inlineStr">
        <is>
          <t>Да</t>
        </is>
      </c>
      <c r="M132" s="31" t="inlineStr"/>
      <c r="N132" s="33" t="inlineStr">
        <is>
          <t>Не автоматизирован</t>
        </is>
      </c>
      <c r="O132" s="31" t="inlineStr"/>
      <c r="P132" s="33" t="inlineStr">
        <is>
          <t>Не выполнен</t>
        </is>
      </c>
      <c r="Q132" s="31" t="inlineStr"/>
    </row>
    <row r="133" ht="34" customHeight="1">
      <c r="A133" s="30" t="inlineStr">
        <is>
          <t>DEBT-004</t>
        </is>
      </c>
      <c r="B133" s="31" t="inlineStr">
        <is>
          <t>Долг и кошелёк</t>
        </is>
      </c>
      <c r="C133" s="31" t="inlineStr">
        <is>
          <t>Баллы</t>
        </is>
      </c>
      <c r="D133" s="32" t="inlineStr">
        <is>
          <t>Транзакции баллов</t>
        </is>
      </c>
      <c r="E133" s="33" t="inlineStr">
        <is>
          <t>P3</t>
        </is>
      </c>
      <c r="F133" s="33" t="inlineStr">
        <is>
          <t>Functional</t>
        </is>
      </c>
      <c r="G133" s="31" t="inlineStr">
        <is>
          <t>Вход в админку под тестовым аккаунтом (полные права)</t>
        </is>
      </c>
      <c r="H133" s="31" t="inlineStr">
        <is>
          <t>1. Point transactions</t>
        </is>
      </c>
      <c r="I133" s="31" t="inlineStr"/>
      <c r="J133" s="31" t="inlineStr">
        <is>
          <t>Типы: начислено, оплата баллами, возврат, списание при возврате; итоги</t>
        </is>
      </c>
      <c r="K133" s="31" t="inlineStr">
        <is>
          <t>PRD Point</t>
        </is>
      </c>
      <c r="L133" s="33" t="inlineStr">
        <is>
          <t>Да</t>
        </is>
      </c>
      <c r="M133" s="31" t="inlineStr"/>
      <c r="N133" s="33" t="inlineStr">
        <is>
          <t>Не автоматизирован</t>
        </is>
      </c>
      <c r="O133" s="31" t="inlineStr"/>
      <c r="P133" s="33" t="inlineStr">
        <is>
          <t>Не выполнен</t>
        </is>
      </c>
      <c r="Q133" s="31" t="inlineStr"/>
    </row>
    <row r="134" ht="62" customHeight="1">
      <c r="A134" s="30" t="inlineStr">
        <is>
          <t>DEBT-005</t>
        </is>
      </c>
      <c r="B134" s="31" t="inlineStr">
        <is>
          <t>Долг и кошелёк</t>
        </is>
      </c>
      <c r="C134" s="31" t="inlineStr">
        <is>
          <t>Погашение</t>
        </is>
      </c>
      <c r="D134" s="32" t="inlineStr">
        <is>
          <t>Погашение долга (Pay Debt)</t>
        </is>
      </c>
      <c r="E134" s="33" t="inlineStr">
        <is>
          <t>P1</t>
        </is>
      </c>
      <c r="F134" s="33" t="inlineStr">
        <is>
          <t>Functional</t>
        </is>
      </c>
      <c r="G134" s="31" t="inlineStr">
        <is>
          <t>У мастера неоплаченные Hamyon-заказы</t>
        </is>
      </c>
      <c r="H134" s="31" t="inlineStr">
        <is>
          <t>1. Pay Debt → выбрать клиента
2. Отметить заказы
3. «To'lash» (без баллов, затем с баллами)</t>
        </is>
      </c>
      <c r="I134" s="31" t="inlineStr"/>
      <c r="J134" s="31" t="inlineStr">
        <is>
          <t>Сортировка: просрочено → продлено → не оплачено → оплачено поздно → оплачено; «Выбрано» и «Остаток» пересчитываются; без средств — ошибка; оплаченные получают дату</t>
        </is>
      </c>
      <c r="K134" s="31" t="inlineStr">
        <is>
          <t>PRD Pay Debt</t>
        </is>
      </c>
      <c r="L134" s="33" t="inlineStr">
        <is>
          <t>Да</t>
        </is>
      </c>
      <c r="M134" s="31" t="inlineStr"/>
      <c r="N134" s="33" t="inlineStr">
        <is>
          <t>Не автоматизирован</t>
        </is>
      </c>
      <c r="O134" s="31" t="inlineStr"/>
      <c r="P134" s="33" t="inlineStr">
        <is>
          <t>Не выполнен</t>
        </is>
      </c>
      <c r="Q134" s="31" t="inlineStr"/>
    </row>
    <row r="135" ht="48" customHeight="1">
      <c r="A135" s="30" t="inlineStr">
        <is>
          <t>DEBT-006</t>
        </is>
      </c>
      <c r="B135" s="31" t="inlineStr">
        <is>
          <t>Долг и кошелёк</t>
        </is>
      </c>
      <c r="C135" s="31" t="inlineStr">
        <is>
          <t>Лимит клиента</t>
        </is>
      </c>
      <c r="D135" s="32" t="inlineStr">
        <is>
          <t>Изменение лимита долга</t>
        </is>
      </c>
      <c r="E135" s="33" t="inlineStr">
        <is>
          <t>P1</t>
        </is>
      </c>
      <c r="F135" s="33" t="inlineStr">
        <is>
          <t>Functional</t>
        </is>
      </c>
      <c r="G135" s="31" t="inlineStr">
        <is>
          <t>Тестовый мастер (B2M)</t>
        </is>
      </c>
      <c r="H135" s="31" t="inlineStr">
        <is>
          <t>1. Debt limit → изменить Limit Summa и Limit Kun</t>
        </is>
      </c>
      <c r="I135" s="31" t="inlineStr"/>
      <c r="J135" s="31" t="inlineStr">
        <is>
          <t>B2M: сумма 0…20 000 000, дни 0…15; B2B: 0…600 000 000, 0…25; изменение в журнале; на витрине доступен Hamyon</t>
        </is>
      </c>
      <c r="K135" s="31" t="inlineStr">
        <is>
          <t>PRD Debt Limit</t>
        </is>
      </c>
      <c r="L135" s="33" t="inlineStr">
        <is>
          <t>Да</t>
        </is>
      </c>
      <c r="M135" s="31" t="inlineStr"/>
      <c r="N135" s="33" t="inlineStr">
        <is>
          <t>Не автоматизирован</t>
        </is>
      </c>
      <c r="O135" s="31" t="inlineStr"/>
      <c r="P135" s="33" t="inlineStr">
        <is>
          <t>Не выполнен</t>
        </is>
      </c>
      <c r="Q135" s="31" t="inlineStr"/>
    </row>
    <row r="136" ht="34" customHeight="1">
      <c r="A136" s="30" t="inlineStr">
        <is>
          <t>DEBT-007</t>
        </is>
      </c>
      <c r="B136" s="31" t="inlineStr">
        <is>
          <t>Долг и кошелёк</t>
        </is>
      </c>
      <c r="C136" s="31" t="inlineStr">
        <is>
          <t>Лимит клиента</t>
        </is>
      </c>
      <c r="D136" s="32" t="inlineStr">
        <is>
          <t>Лимит вне диапазона</t>
        </is>
      </c>
      <c r="E136" s="33" t="inlineStr">
        <is>
          <t>P2</t>
        </is>
      </c>
      <c r="F136" s="33" t="inlineStr">
        <is>
          <t>Negative</t>
        </is>
      </c>
      <c r="G136" s="31" t="inlineStr">
        <is>
          <t>Тестовый мастер</t>
        </is>
      </c>
      <c r="H136" s="31" t="inlineStr">
        <is>
          <t>1. Сумма 25 000 000
2. Дни 16</t>
        </is>
      </c>
      <c r="I136" s="31" t="inlineStr"/>
      <c r="J136" s="31" t="inlineStr">
        <is>
          <t>Ошибки валидации</t>
        </is>
      </c>
      <c r="K136" s="31" t="inlineStr"/>
      <c r="L136" s="33" t="inlineStr">
        <is>
          <t>Да</t>
        </is>
      </c>
      <c r="M136" s="31" t="inlineStr"/>
      <c r="N136" s="33" t="inlineStr">
        <is>
          <t>Не автоматизирован</t>
        </is>
      </c>
      <c r="O136" s="31" t="inlineStr"/>
      <c r="P136" s="33" t="inlineStr">
        <is>
          <t>Не выполнен</t>
        </is>
      </c>
      <c r="Q136" s="31" t="inlineStr"/>
    </row>
    <row r="137" ht="34" customHeight="1">
      <c r="A137" s="30" t="inlineStr">
        <is>
          <t>DEBT-008</t>
        </is>
      </c>
      <c r="B137" s="31" t="inlineStr">
        <is>
          <t>Долг и кошелёк</t>
        </is>
      </c>
      <c r="C137" s="31" t="inlineStr">
        <is>
          <t>Лимит филиала</t>
        </is>
      </c>
      <c r="D137" s="32" t="inlineStr">
        <is>
          <t>Лимиты филиалов и история</t>
        </is>
      </c>
      <c r="E137" s="33" t="inlineStr">
        <is>
          <t>P2</t>
        </is>
      </c>
      <c r="F137" s="33" t="inlineStr">
        <is>
          <t>Functional</t>
        </is>
      </c>
      <c r="G137" s="31" t="inlineStr">
        <is>
          <t>Пользователь CEO/Developer</t>
        </is>
      </c>
      <c r="H137" s="31" t="inlineStr">
        <is>
          <t>1. Warehouse debt limits → изменить лимит
2. «Change history»</t>
        </is>
      </c>
      <c r="I137" s="31" t="inlineStr"/>
      <c r="J137" s="31" t="inlineStr">
        <is>
          <t>Остаток = лимит − текущий долг; лимит 0 → «Закрыт»; в истории кто/когда/было/стало</t>
        </is>
      </c>
      <c r="K137" s="31" t="inlineStr">
        <is>
          <t>PRD Filial qarz limiti</t>
        </is>
      </c>
      <c r="L137" s="33" t="inlineStr">
        <is>
          <t>Частично</t>
        </is>
      </c>
      <c r="M137" s="31" t="inlineStr"/>
      <c r="N137" s="33" t="inlineStr">
        <is>
          <t>Не автоматизирован</t>
        </is>
      </c>
      <c r="O137" s="31" t="inlineStr"/>
      <c r="P137" s="33" t="inlineStr">
        <is>
          <t>Не выполнен</t>
        </is>
      </c>
      <c r="Q137" s="31" t="inlineStr"/>
    </row>
    <row r="138" ht="34" customHeight="1">
      <c r="A138" s="30" t="inlineStr">
        <is>
          <t>DEBT-009</t>
        </is>
      </c>
      <c r="B138" s="31" t="inlineStr">
        <is>
          <t>Долг и кошелёк</t>
        </is>
      </c>
      <c r="C138" s="31" t="inlineStr">
        <is>
          <t>Должники</t>
        </is>
      </c>
      <c r="D138" s="32" t="inlineStr">
        <is>
          <t>Должники по складам</t>
        </is>
      </c>
      <c r="E138" s="33" t="inlineStr">
        <is>
          <t>P3</t>
        </is>
      </c>
      <c r="F138" s="33" t="inlineStr">
        <is>
          <t>Functional</t>
        </is>
      </c>
      <c r="G138" s="31" t="inlineStr">
        <is>
          <t>Вход в админку под тестовым аккаунтом (полные права)</t>
        </is>
      </c>
      <c r="H138" s="31" t="inlineStr">
        <is>
          <t>1. Debtors by Warehouse</t>
        </is>
      </c>
      <c r="I138" s="31" t="inlineStr"/>
      <c r="J138" s="31" t="inlineStr">
        <is>
          <t>Отчёт по складам с лимитом и остатком</t>
        </is>
      </c>
      <c r="K138" s="31" t="inlineStr"/>
      <c r="L138" s="33" t="inlineStr">
        <is>
          <t>Да</t>
        </is>
      </c>
      <c r="M138" s="31" t="inlineStr"/>
      <c r="N138" s="33" t="inlineStr">
        <is>
          <t>Не автоматизирован</t>
        </is>
      </c>
      <c r="O138" s="31" t="inlineStr"/>
      <c r="P138" s="33" t="inlineStr">
        <is>
          <t>Не выполнен</t>
        </is>
      </c>
      <c r="Q138" s="31" t="inlineStr"/>
    </row>
    <row r="139" ht="90" customHeight="1">
      <c r="A139" s="26" t="inlineStr">
        <is>
          <t>MSG-001</t>
        </is>
      </c>
      <c r="B139" s="27" t="inlineStr">
        <is>
          <t>Сообщения (Push, чат)</t>
        </is>
      </c>
      <c r="C139" s="27" t="inlineStr">
        <is>
          <t>Push</t>
        </is>
      </c>
      <c r="D139" s="28" t="inlineStr">
        <is>
          <t>Создание push-рассылки</t>
        </is>
      </c>
      <c r="E139" s="29" t="inlineStr">
        <is>
          <t>P2</t>
        </is>
      </c>
      <c r="F139" s="29" t="inlineStr">
        <is>
          <t>Functional</t>
        </is>
      </c>
      <c r="G139" s="27" t="inlineStr">
        <is>
          <t>Вход в админку под тестовым аккаунтом (полные права)</t>
        </is>
      </c>
      <c r="H139" s="27" t="inlineStr">
        <is>
          <t>1. Push Notifications → «Create notification»
2. Шаг 1: заголовки и тексты UZ/RU/EN, Navigate → «Next»
3. Шаг 2: склад, тип пользователя, тип телефона → «Next»
4. Шаг 3: время</t>
        </is>
      </c>
      <c r="I139" s="27" t="inlineStr"/>
      <c r="J139" s="27" t="inlineStr">
        <is>
          <t>Рассылка в списке; без обязательных полей «Next» не проходит</t>
        </is>
      </c>
      <c r="K139" s="27" t="inlineStr">
        <is>
          <t>PRD Push Notification System</t>
        </is>
      </c>
      <c r="L139" s="29" t="inlineStr">
        <is>
          <t>Да</t>
        </is>
      </c>
      <c r="M139" s="27" t="inlineStr"/>
      <c r="N139" s="29" t="inlineStr">
        <is>
          <t>Не автоматизирован</t>
        </is>
      </c>
      <c r="O139" s="27" t="inlineStr"/>
      <c r="P139" s="29" t="inlineStr">
        <is>
          <t>Не выполнен</t>
        </is>
      </c>
      <c r="Q139" s="27" t="inlineStr"/>
    </row>
    <row r="140" ht="34" customHeight="1">
      <c r="A140" s="26" t="inlineStr">
        <is>
          <t>MSG-002</t>
        </is>
      </c>
      <c r="B140" s="27" t="inlineStr">
        <is>
          <t>Сообщения (Push, чат)</t>
        </is>
      </c>
      <c r="C140" s="27" t="inlineStr">
        <is>
          <t>Push</t>
        </is>
      </c>
      <c r="D140" s="28" t="inlineStr">
        <is>
          <t>Черновик и отправленная рассылка</t>
        </is>
      </c>
      <c r="E140" s="29" t="inlineStr">
        <is>
          <t>P3</t>
        </is>
      </c>
      <c r="F140" s="29" t="inlineStr">
        <is>
          <t>Functional</t>
        </is>
      </c>
      <c r="G140" s="27" t="inlineStr">
        <is>
          <t>Вход в админку под тестовым аккаунтом (полные права)</t>
        </is>
      </c>
      <c r="H140" s="27" t="inlineStr">
        <is>
          <t>1. «Save (draft)» на любом шаге
2. Открыть отправленную</t>
        </is>
      </c>
      <c r="I140" s="27" t="inlineStr"/>
      <c r="J140" s="27" t="inlineStr">
        <is>
          <t>Черновик сохраняется; отправленная — только просмотр</t>
        </is>
      </c>
      <c r="K140" s="27" t="inlineStr"/>
      <c r="L140" s="29" t="inlineStr">
        <is>
          <t>Да</t>
        </is>
      </c>
      <c r="M140" s="27" t="inlineStr"/>
      <c r="N140" s="29" t="inlineStr">
        <is>
          <t>Не автоматизирован</t>
        </is>
      </c>
      <c r="O140" s="27" t="inlineStr"/>
      <c r="P140" s="29" t="inlineStr">
        <is>
          <t>Не выполнен</t>
        </is>
      </c>
      <c r="Q140" s="27" t="inlineStr"/>
    </row>
    <row r="141" ht="34" customHeight="1">
      <c r="A141" s="26" t="inlineStr">
        <is>
          <t>MSG-003</t>
        </is>
      </c>
      <c r="B141" s="27" t="inlineStr">
        <is>
          <t>Сообщения (Push, чат)</t>
        </is>
      </c>
      <c r="C141" s="27" t="inlineStr">
        <is>
          <t>Push</t>
        </is>
      </c>
      <c r="D141" s="28" t="inlineStr">
        <is>
          <t>Получатели по условию И</t>
        </is>
      </c>
      <c r="E141" s="29" t="inlineStr">
        <is>
          <t>P2</t>
        </is>
      </c>
      <c r="F141" s="29" t="inlineStr">
        <is>
          <t>Integration</t>
        </is>
      </c>
      <c r="G141" s="27" t="inlineStr">
        <is>
          <t>Рассылка: склад + Master + платформа</t>
        </is>
      </c>
      <c r="H141" s="27" t="inlineStr">
        <is>
          <t>1. Отправить</t>
        </is>
      </c>
      <c r="I141" s="27" t="inlineStr"/>
      <c r="J141" s="27" t="inlineStr">
        <is>
          <t>Получают только клиенты со всеми условиями; запись в «Уведомления» на витрине</t>
        </is>
      </c>
      <c r="K141" s="27" t="inlineStr"/>
      <c r="L141" s="29" t="inlineStr">
        <is>
          <t>Частично</t>
        </is>
      </c>
      <c r="M141" s="27" t="inlineStr"/>
      <c r="N141" s="29" t="inlineStr">
        <is>
          <t>Не автоматизирован</t>
        </is>
      </c>
      <c r="O141" s="27" t="inlineStr"/>
      <c r="P141" s="29" t="inlineStr">
        <is>
          <t>Не выполнен</t>
        </is>
      </c>
      <c r="Q141" s="27" t="inlineStr"/>
    </row>
    <row r="142" ht="48" customHeight="1">
      <c r="A142" s="26" t="inlineStr">
        <is>
          <t>MSG-004</t>
        </is>
      </c>
      <c r="B142" s="27" t="inlineStr">
        <is>
          <t>Сообщения (Push, чат)</t>
        </is>
      </c>
      <c r="C142" s="27" t="inlineStr">
        <is>
          <t>Чат</t>
        </is>
      </c>
      <c r="D142" s="28" t="inlineStr">
        <is>
          <t>Чат с клиентами</t>
        </is>
      </c>
      <c r="E142" s="29" t="inlineStr">
        <is>
          <t>P2</t>
        </is>
      </c>
      <c r="F142" s="29" t="inlineStr">
        <is>
          <t>Functional</t>
        </is>
      </c>
      <c r="G142" s="27" t="inlineStr">
        <is>
          <t>Клиент написал в поддержку</t>
        </is>
      </c>
      <c r="H142" s="27" t="inlineStr">
        <is>
          <t>1. Messages → Chat
2. Ответить, приложить файл
3. Закрыть чат</t>
        </is>
      </c>
      <c r="I142" s="27" t="inlineStr"/>
      <c r="J142" s="27" t="inlineStr">
        <is>
          <t>Список All/Unread; ответ доходит клиенту; файл ≤ 10 МБ, текст ≤ 1000 символов; после закрытия чат только для чтения</t>
        </is>
      </c>
      <c r="K142" s="27" t="inlineStr">
        <is>
          <t>PRD CHAT</t>
        </is>
      </c>
      <c r="L142" s="29" t="inlineStr">
        <is>
          <t>Частично</t>
        </is>
      </c>
      <c r="M142" s="27" t="inlineStr"/>
      <c r="N142" s="29" t="inlineStr">
        <is>
          <t>Не автоматизирован</t>
        </is>
      </c>
      <c r="O142" s="27" t="inlineStr"/>
      <c r="P142" s="29" t="inlineStr">
        <is>
          <t>Не выполнен</t>
        </is>
      </c>
      <c r="Q142" s="27" t="inlineStr"/>
    </row>
    <row r="143" ht="48" customHeight="1">
      <c r="A143" s="30" t="inlineStr">
        <is>
          <t>PERM-001</t>
        </is>
      </c>
      <c r="B143" s="31" t="inlineStr">
        <is>
          <t>Права доступа</t>
        </is>
      </c>
      <c r="C143" s="31" t="inlineStr">
        <is>
          <t>Роли</t>
        </is>
      </c>
      <c r="D143" s="32" t="inlineStr">
        <is>
          <t>Создание роли сотрудника и прав</t>
        </is>
      </c>
      <c r="E143" s="33" t="inlineStr">
        <is>
          <t>P1</t>
        </is>
      </c>
      <c r="F143" s="33" t="inlineStr">
        <is>
          <t>Functional</t>
        </is>
      </c>
      <c r="G143" s="31" t="inlineStr">
        <is>
          <t>Вход в админку под тестовым аккаунтом (полные права)</t>
        </is>
      </c>
      <c r="H143" s="31" t="inlineStr">
        <is>
          <t>1. Roles &amp; Permissions → «Create»: имя, модули, права
2. Сохранить</t>
        </is>
      </c>
      <c r="I143" s="31" t="inlineStr"/>
      <c r="J143" s="31" t="inlineStr">
        <is>
          <t>Роль с модулями; фильтры «Все роли / Все модули»; удаление с подтверждением</t>
        </is>
      </c>
      <c r="K143" s="31" t="inlineStr">
        <is>
          <t>PRD Roles and Permissions Module</t>
        </is>
      </c>
      <c r="L143" s="33" t="inlineStr">
        <is>
          <t>Да</t>
        </is>
      </c>
      <c r="M143" s="31" t="inlineStr"/>
      <c r="N143" s="33" t="inlineStr">
        <is>
          <t>Не автоматизирован</t>
        </is>
      </c>
      <c r="O143" s="31" t="inlineStr"/>
      <c r="P143" s="33" t="inlineStr">
        <is>
          <t>Не выполнен</t>
        </is>
      </c>
      <c r="Q143" s="31" t="inlineStr"/>
    </row>
    <row r="144" ht="34" customHeight="1">
      <c r="A144" s="30" t="inlineStr">
        <is>
          <t>PERM-002</t>
        </is>
      </c>
      <c r="B144" s="31" t="inlineStr">
        <is>
          <t>Права доступа</t>
        </is>
      </c>
      <c r="C144" s="31" t="inlineStr">
        <is>
          <t>Доступ</t>
        </is>
      </c>
      <c r="D144" s="32" t="inlineStr">
        <is>
          <t>Нет прав на модуль</t>
        </is>
      </c>
      <c r="E144" s="33" t="inlineStr">
        <is>
          <t>P1</t>
        </is>
      </c>
      <c r="F144" s="33" t="inlineStr">
        <is>
          <t>Security</t>
        </is>
      </c>
      <c r="G144" s="31" t="inlineStr">
        <is>
          <t>Пользователь роли без модуля «Users»</t>
        </is>
      </c>
      <c r="H144" s="31" t="inlineStr">
        <is>
          <t>1. Войти
2. Открыть /users/user напрямую</t>
        </is>
      </c>
      <c r="I144" s="31" t="inlineStr"/>
      <c r="J144" s="31" t="inlineStr">
        <is>
          <t>Пункта меню нет; страница/API отказывает (403)</t>
        </is>
      </c>
      <c r="K144" s="31" t="inlineStr"/>
      <c r="L144" s="33" t="inlineStr">
        <is>
          <t>Частично</t>
        </is>
      </c>
      <c r="M144" s="31" t="inlineStr">
        <is>
          <t>Нужен второй аккаунт</t>
        </is>
      </c>
      <c r="N144" s="33" t="inlineStr">
        <is>
          <t>Не автоматизирован</t>
        </is>
      </c>
      <c r="O144" s="31" t="inlineStr"/>
      <c r="P144" s="33" t="inlineStr">
        <is>
          <t>Не выполнен</t>
        </is>
      </c>
      <c r="Q144" s="31" t="inlineStr"/>
    </row>
    <row r="145" ht="34" customHeight="1">
      <c r="A145" s="30" t="inlineStr">
        <is>
          <t>PERM-003</t>
        </is>
      </c>
      <c r="B145" s="31" t="inlineStr">
        <is>
          <t>Права доступа</t>
        </is>
      </c>
      <c r="C145" s="31" t="inlineStr">
        <is>
          <t>Доступ</t>
        </is>
      </c>
      <c r="D145" s="32" t="inlineStr">
        <is>
          <t>Ограничение по складу</t>
        </is>
      </c>
      <c r="E145" s="33" t="inlineStr">
        <is>
          <t>P1</t>
        </is>
      </c>
      <c r="F145" s="33" t="inlineStr">
        <is>
          <t>Security</t>
        </is>
      </c>
      <c r="G145" s="31" t="inlineStr">
        <is>
          <t>Продавец склада A</t>
        </is>
      </c>
      <c r="H145" s="31" t="inlineStr">
        <is>
          <t>1. Открыть заказы, перемещения, приходы</t>
        </is>
      </c>
      <c r="I145" s="31" t="inlineStr"/>
      <c r="J145" s="31" t="inlineStr">
        <is>
          <t>Видны документы только своего склада</t>
        </is>
      </c>
      <c r="K145" s="31" t="inlineStr"/>
      <c r="L145" s="33" t="inlineStr">
        <is>
          <t>Частично</t>
        </is>
      </c>
      <c r="M145" s="31" t="inlineStr"/>
      <c r="N145" s="33" t="inlineStr">
        <is>
          <t>Не автоматизирован</t>
        </is>
      </c>
      <c r="O145" s="31" t="inlineStr"/>
      <c r="P145" s="33" t="inlineStr">
        <is>
          <t>Не выполнен</t>
        </is>
      </c>
      <c r="Q145" s="31" t="inlineStr"/>
    </row>
    <row r="146" ht="48" customHeight="1">
      <c r="A146" s="30" t="inlineStr">
        <is>
          <t>PERM-004</t>
        </is>
      </c>
      <c r="B146" s="31" t="inlineStr">
        <is>
          <t>Права доступа</t>
        </is>
      </c>
      <c r="C146" s="31" t="inlineStr">
        <is>
          <t>Справочники</t>
        </is>
      </c>
      <c r="D146" s="32" t="inlineStr">
        <is>
          <t>Модули и роли</t>
        </is>
      </c>
      <c r="E146" s="33" t="inlineStr">
        <is>
          <t>P3</t>
        </is>
      </c>
      <c r="F146" s="33" t="inlineStr">
        <is>
          <t>Functional</t>
        </is>
      </c>
      <c r="G146" s="31" t="inlineStr">
        <is>
          <t>Вход в админку под тестовым аккаунтом (полные права)</t>
        </is>
      </c>
      <c r="H146" s="31" t="inlineStr">
        <is>
          <t>1. Modules → «Create»
2. Roles → «Create» (имя, код)
3. Role permissions → «Create»</t>
        </is>
      </c>
      <c r="I146" s="31" t="inlineStr"/>
      <c r="J146" s="31" t="inlineStr">
        <is>
          <t>Записи созданы; код роли уникален</t>
        </is>
      </c>
      <c r="K146" s="31" t="inlineStr"/>
      <c r="L146" s="33" t="inlineStr">
        <is>
          <t>Да</t>
        </is>
      </c>
      <c r="M146" s="31" t="inlineStr"/>
      <c r="N146" s="33" t="inlineStr">
        <is>
          <t>Не автоматизирован</t>
        </is>
      </c>
      <c r="O146" s="31" t="inlineStr"/>
      <c r="P146" s="33" t="inlineStr">
        <is>
          <t>Не выполнен</t>
        </is>
      </c>
      <c r="Q146" s="31" t="inlineStr"/>
    </row>
    <row r="147" ht="34" customHeight="1">
      <c r="A147" s="26" t="inlineStr">
        <is>
          <t>REP-001</t>
        </is>
      </c>
      <c r="B147" s="27" t="inlineStr">
        <is>
          <t>Отчёты</t>
        </is>
      </c>
      <c r="C147" s="27" t="inlineStr">
        <is>
          <t>Заказы клиентов</t>
        </is>
      </c>
      <c r="D147" s="28" t="inlineStr">
        <is>
          <t>Отчёт «Clients' order»</t>
        </is>
      </c>
      <c r="E147" s="29" t="inlineStr">
        <is>
          <t>P2</t>
        </is>
      </c>
      <c r="F147" s="29" t="inlineStr">
        <is>
          <t>Functional</t>
        </is>
      </c>
      <c r="G147" s="27" t="inlineStr">
        <is>
          <t>Вход в админку под тестовым аккаунтом (полные права)</t>
        </is>
      </c>
      <c r="H147" s="27" t="inlineStr">
        <is>
          <t>1. Reports → Clients' order: период, склад → «Generate»</t>
        </is>
      </c>
      <c r="I147" s="27" t="inlineStr"/>
      <c r="J147" s="27" t="inlineStr">
        <is>
          <t>Отчёт сформирован, суммы совпадают с заказами</t>
        </is>
      </c>
      <c r="K147" s="27" t="inlineStr"/>
      <c r="L147" s="29" t="inlineStr">
        <is>
          <t>Частично</t>
        </is>
      </c>
      <c r="M147" s="27" t="inlineStr"/>
      <c r="N147" s="29" t="inlineStr">
        <is>
          <t>Не автоматизирован</t>
        </is>
      </c>
      <c r="O147" s="27" t="inlineStr"/>
      <c r="P147" s="29" t="inlineStr">
        <is>
          <t>Не выполнен</t>
        </is>
      </c>
      <c r="Q147" s="27" t="inlineStr"/>
    </row>
    <row r="148" ht="48" customHeight="1">
      <c r="A148" s="26" t="inlineStr">
        <is>
          <t>REP-002</t>
        </is>
      </c>
      <c r="B148" s="27" t="inlineStr">
        <is>
          <t>Отчёты</t>
        </is>
      </c>
      <c r="C148" s="27" t="inlineStr">
        <is>
          <t>История товара</t>
        </is>
      </c>
      <c r="D148" s="28" t="inlineStr">
        <is>
          <t>История товара</t>
        </is>
      </c>
      <c r="E148" s="29" t="inlineStr">
        <is>
          <t>P2</t>
        </is>
      </c>
      <c r="F148" s="29" t="inlineStr">
        <is>
          <t>Functional</t>
        </is>
      </c>
      <c r="G148" s="27" t="inlineStr">
        <is>
          <t>Вход в админку под тестовым аккаунтом (полные права)</t>
        </is>
      </c>
      <c r="H148" s="27" t="inlineStr">
        <is>
          <t>1. Product history: период, склад, товар (обязателен) → «Filter»
2. «Download»</t>
        </is>
      </c>
      <c r="I148" s="27" t="inlineStr"/>
      <c r="J148" s="27" t="inlineStr">
        <is>
          <t>Движения за период; Excel = таблице; без товара — ошибка</t>
        </is>
      </c>
      <c r="K148" s="27" t="inlineStr">
        <is>
          <t>PRD Product History</t>
        </is>
      </c>
      <c r="L148" s="29" t="inlineStr">
        <is>
          <t>Да</t>
        </is>
      </c>
      <c r="M148" s="27" t="inlineStr"/>
      <c r="N148" s="29" t="inlineStr">
        <is>
          <t>Не автоматизирован</t>
        </is>
      </c>
      <c r="O148" s="27" t="inlineStr"/>
      <c r="P148" s="29" t="inlineStr">
        <is>
          <t>Не выполнен</t>
        </is>
      </c>
      <c r="Q148" s="27" t="inlineStr"/>
    </row>
    <row r="149" ht="34" customHeight="1">
      <c r="A149" s="26" t="inlineStr">
        <is>
          <t>REP-003</t>
        </is>
      </c>
      <c r="B149" s="27" t="inlineStr">
        <is>
          <t>Отчёты</t>
        </is>
      </c>
      <c r="C149" s="27" t="inlineStr">
        <is>
          <t>Материальный</t>
        </is>
      </c>
      <c r="D149" s="28" t="inlineStr">
        <is>
          <t>Материальный отчёт и сверка</t>
        </is>
      </c>
      <c r="E149" s="29" t="inlineStr">
        <is>
          <t>P1</t>
        </is>
      </c>
      <c r="F149" s="29" t="inlineStr">
        <is>
          <t>Functional</t>
        </is>
      </c>
      <c r="G149" s="27" t="inlineStr">
        <is>
          <t>Вход в админку под тестовым аккаунтом (полные права)</t>
        </is>
      </c>
      <c r="H149" s="27" t="inlineStr">
        <is>
          <t>1. Material report: период, склад → «Generate»</t>
        </is>
      </c>
      <c r="I149" s="27" t="inlineStr"/>
      <c r="J149" s="27" t="inlineStr">
        <is>
          <t>Начальный остаток + приход − расход = конечный остаток</t>
        </is>
      </c>
      <c r="K149" s="27" t="inlineStr">
        <is>
          <t>PRD Material report</t>
        </is>
      </c>
      <c r="L149" s="29" t="inlineStr">
        <is>
          <t>Частично</t>
        </is>
      </c>
      <c r="M149" s="27" t="inlineStr"/>
      <c r="N149" s="29" t="inlineStr">
        <is>
          <t>Не автоматизирован</t>
        </is>
      </c>
      <c r="O149" s="27" t="inlineStr"/>
      <c r="P149" s="29" t="inlineStr">
        <is>
          <t>Не выполнен</t>
        </is>
      </c>
      <c r="Q149" s="27" t="inlineStr"/>
    </row>
    <row r="150" ht="34" customHeight="1">
      <c r="A150" s="26" t="inlineStr">
        <is>
          <t>REP-004</t>
        </is>
      </c>
      <c r="B150" s="27" t="inlineStr">
        <is>
          <t>Отчёты</t>
        </is>
      </c>
      <c r="C150" s="27" t="inlineStr">
        <is>
          <t>Прибыль</t>
        </is>
      </c>
      <c r="D150" s="28" t="inlineStr">
        <is>
          <t>Отчёт о прибыли</t>
        </is>
      </c>
      <c r="E150" s="29" t="inlineStr">
        <is>
          <t>P2</t>
        </is>
      </c>
      <c r="F150" s="29" t="inlineStr">
        <is>
          <t>Functional</t>
        </is>
      </c>
      <c r="G150" s="27" t="inlineStr">
        <is>
          <t>Вход в админку под тестовым аккаунтом (полные права)</t>
        </is>
      </c>
      <c r="H150" s="27" t="inlineStr">
        <is>
          <t>1. Profit report: период, склад → «Generate»</t>
        </is>
      </c>
      <c r="I150" s="27" t="inlineStr"/>
      <c r="J150" s="27" t="inlineStr">
        <is>
          <t>Выручка, себестоимость, прибыль; совпадает с проданными заказами</t>
        </is>
      </c>
      <c r="K150" s="27" t="inlineStr"/>
      <c r="L150" s="29" t="inlineStr">
        <is>
          <t>Частично</t>
        </is>
      </c>
      <c r="M150" s="27" t="inlineStr"/>
      <c r="N150" s="29" t="inlineStr">
        <is>
          <t>Не автоматизирован</t>
        </is>
      </c>
      <c r="O150" s="27" t="inlineStr"/>
      <c r="P150" s="29" t="inlineStr">
        <is>
          <t>Не выполнен</t>
        </is>
      </c>
      <c r="Q150" s="27" t="inlineStr"/>
    </row>
    <row r="151" ht="34" customHeight="1">
      <c r="A151" s="26" t="inlineStr">
        <is>
          <t>REP-005</t>
        </is>
      </c>
      <c r="B151" s="27" t="inlineStr">
        <is>
          <t>Отчёты</t>
        </is>
      </c>
      <c r="C151" s="27" t="inlineStr">
        <is>
          <t>MML</t>
        </is>
      </c>
      <c r="D151" s="28" t="inlineStr">
        <is>
          <t>MML-отчёт</t>
        </is>
      </c>
      <c r="E151" s="29" t="inlineStr">
        <is>
          <t>P2</t>
        </is>
      </c>
      <c r="F151" s="29" t="inlineStr">
        <is>
          <t>Functional</t>
        </is>
      </c>
      <c r="G151" s="27" t="inlineStr">
        <is>
          <t>Вход в админку под тестовым аккаунтом (полные права)</t>
        </is>
      </c>
      <c r="H151" s="27" t="inlineStr">
        <is>
          <t>1. MML report: период, склады, тип (Regular / Summary) → «Generate»</t>
        </is>
      </c>
      <c r="I151" s="27" t="inlineStr"/>
      <c r="J151" s="27" t="inlineStr">
        <is>
          <t>Отчёт с 56 колонками; «Summary» сворачивает</t>
        </is>
      </c>
      <c r="K151" s="27" t="inlineStr">
        <is>
          <t>PRD MML report v4</t>
        </is>
      </c>
      <c r="L151" s="29" t="inlineStr">
        <is>
          <t>Частично</t>
        </is>
      </c>
      <c r="M151" s="27" t="inlineStr"/>
      <c r="N151" s="29" t="inlineStr">
        <is>
          <t>Не автоматизирован</t>
        </is>
      </c>
      <c r="O151" s="27" t="inlineStr"/>
      <c r="P151" s="29" t="inlineStr">
        <is>
          <t>Не выполнен</t>
        </is>
      </c>
      <c r="Q151" s="27" t="inlineStr"/>
    </row>
    <row r="152" ht="34" customHeight="1">
      <c r="A152" s="26" t="inlineStr">
        <is>
          <t>REP-006</t>
        </is>
      </c>
      <c r="B152" s="27" t="inlineStr">
        <is>
          <t>Отчёты</t>
        </is>
      </c>
      <c r="C152" s="27" t="inlineStr">
        <is>
          <t>Сезон</t>
        </is>
      </c>
      <c r="D152" s="28" t="inlineStr">
        <is>
          <t>Коэффициент сезона</t>
        </is>
      </c>
      <c r="E152" s="29" t="inlineStr">
        <is>
          <t>P3</t>
        </is>
      </c>
      <c r="F152" s="29" t="inlineStr">
        <is>
          <t>Functional</t>
        </is>
      </c>
      <c r="G152" s="27" t="inlineStr">
        <is>
          <t>Пользователь CEO/Developer</t>
        </is>
      </c>
      <c r="H152" s="27" t="inlineStr">
        <is>
          <t>1. Season → «Set season» / изменить для склада
2. «Change history»</t>
        </is>
      </c>
      <c r="I152" s="27" t="inlineStr"/>
      <c r="J152" s="27" t="inlineStr">
        <is>
          <t>Значение и дата сохранены; другим ролям недоступно</t>
        </is>
      </c>
      <c r="K152" s="27" t="inlineStr">
        <is>
          <t>PRD Mavsum koeffitsienti</t>
        </is>
      </c>
      <c r="L152" s="29" t="inlineStr">
        <is>
          <t>Да</t>
        </is>
      </c>
      <c r="M152" s="27" t="inlineStr"/>
      <c r="N152" s="29" t="inlineStr">
        <is>
          <t>Не автоматизирован</t>
        </is>
      </c>
      <c r="O152" s="27" t="inlineStr"/>
      <c r="P152" s="29" t="inlineStr">
        <is>
          <t>Не выполнен</t>
        </is>
      </c>
      <c r="Q152" s="27" t="inlineStr"/>
    </row>
    <row r="153" ht="34" customHeight="1">
      <c r="A153" s="26" t="inlineStr">
        <is>
          <t>REP-007</t>
        </is>
      </c>
      <c r="B153" s="27" t="inlineStr">
        <is>
          <t>Отчёты</t>
        </is>
      </c>
      <c r="C153" s="27" t="inlineStr">
        <is>
          <t>Заказы поставщикам</t>
        </is>
      </c>
      <c r="D153" s="28" t="inlineStr">
        <is>
          <t>Цикл заказа (Zakas cycle)</t>
        </is>
      </c>
      <c r="E153" s="29" t="inlineStr">
        <is>
          <t>P3</t>
        </is>
      </c>
      <c r="F153" s="29" t="inlineStr">
        <is>
          <t>Functional</t>
        </is>
      </c>
      <c r="G153" s="27" t="inlineStr">
        <is>
          <t>Вход в админку под тестовым аккаунтом (полные права)</t>
        </is>
      </c>
      <c r="H153" s="27" t="inlineStr">
        <is>
          <t>1. Zakas cycle: «Download», затем «Upload»</t>
        </is>
      </c>
      <c r="I153" s="27" t="inlineStr"/>
      <c r="J153" s="27" t="inlineStr">
        <is>
          <t>Цикл и загрузка записаны</t>
        </is>
      </c>
      <c r="K153" s="27" t="inlineStr">
        <is>
          <t>PRD Zakas cycle</t>
        </is>
      </c>
      <c r="L153" s="29" t="inlineStr">
        <is>
          <t>Частично</t>
        </is>
      </c>
      <c r="M153" s="27" t="inlineStr"/>
      <c r="N153" s="29" t="inlineStr">
        <is>
          <t>Не автоматизирован</t>
        </is>
      </c>
      <c r="O153" s="27" t="inlineStr"/>
      <c r="P153" s="29" t="inlineStr">
        <is>
          <t>Не выполнен</t>
        </is>
      </c>
      <c r="Q153" s="27" t="inlineStr"/>
    </row>
    <row r="154" ht="34" customHeight="1">
      <c r="A154" s="26" t="inlineStr">
        <is>
          <t>REP-008</t>
        </is>
      </c>
      <c r="B154" s="27" t="inlineStr">
        <is>
          <t>Отчёты</t>
        </is>
      </c>
      <c r="C154" s="27" t="inlineStr">
        <is>
          <t>Должники</t>
        </is>
      </c>
      <c r="D154" s="28" t="inlineStr">
        <is>
          <t>Отчёт должников</t>
        </is>
      </c>
      <c r="E154" s="29" t="inlineStr">
        <is>
          <t>P2</t>
        </is>
      </c>
      <c r="F154" s="29" t="inlineStr">
        <is>
          <t>Functional</t>
        </is>
      </c>
      <c r="G154" s="27" t="inlineStr">
        <is>
          <t>Вход в админку под тестовым аккаунтом (полные права)</t>
        </is>
      </c>
      <c r="H154" s="27" t="inlineStr">
        <is>
          <t>1. Debtors: дата, «Filter», «Download»</t>
        </is>
      </c>
      <c r="I154" s="27" t="inlineStr"/>
      <c r="J154" s="27" t="inlineStr">
        <is>
          <t>Должники с суммами и статусами по складам; Excel = таблице</t>
        </is>
      </c>
      <c r="K154" s="27" t="inlineStr">
        <is>
          <t>PRD Debtors report</t>
        </is>
      </c>
      <c r="L154" s="29" t="inlineStr">
        <is>
          <t>Да</t>
        </is>
      </c>
      <c r="M154" s="27" t="inlineStr"/>
      <c r="N154" s="29" t="inlineStr">
        <is>
          <t>Не автоматизирован</t>
        </is>
      </c>
      <c r="O154" s="27" t="inlineStr"/>
      <c r="P154" s="29" t="inlineStr">
        <is>
          <t>Не выполнен</t>
        </is>
      </c>
      <c r="Q154" s="27" t="inlineStr"/>
    </row>
    <row r="155" ht="34" customHeight="1">
      <c r="A155" s="26" t="inlineStr">
        <is>
          <t>REP-009</t>
        </is>
      </c>
      <c r="B155" s="27" t="inlineStr">
        <is>
          <t>Отчёты</t>
        </is>
      </c>
      <c r="C155" s="27" t="inlineStr">
        <is>
          <t>История пользователя</t>
        </is>
      </c>
      <c r="D155" s="28" t="inlineStr">
        <is>
          <t>История пользователя</t>
        </is>
      </c>
      <c r="E155" s="29" t="inlineStr">
        <is>
          <t>P3</t>
        </is>
      </c>
      <c r="F155" s="29" t="inlineStr">
        <is>
          <t>Functional</t>
        </is>
      </c>
      <c r="G155" s="27" t="inlineStr">
        <is>
          <t>Вход в админку под тестовым аккаунтом (полные права)</t>
        </is>
      </c>
      <c r="H155" s="27" t="inlineStr">
        <is>
          <t>1. User history: дата, пользователь → «Filter»</t>
        </is>
      </c>
      <c r="I155" s="27" t="inlineStr"/>
      <c r="J155" s="27" t="inlineStr">
        <is>
          <t>Действия выбранного пользователя за период</t>
        </is>
      </c>
      <c r="K155" s="27" t="inlineStr"/>
      <c r="L155" s="29" t="inlineStr">
        <is>
          <t>Да</t>
        </is>
      </c>
      <c r="M155" s="27" t="inlineStr"/>
      <c r="N155" s="29" t="inlineStr">
        <is>
          <t>Не автоматизирован</t>
        </is>
      </c>
      <c r="O155" s="27" t="inlineStr"/>
      <c r="P155" s="29" t="inlineStr">
        <is>
          <t>Не выполнен</t>
        </is>
      </c>
      <c r="Q155" s="27" t="inlineStr"/>
    </row>
    <row r="156" ht="48" customHeight="1">
      <c r="A156" s="26" t="inlineStr">
        <is>
          <t>REP-010</t>
        </is>
      </c>
      <c r="B156" s="27" t="inlineStr">
        <is>
          <t>Отчёты</t>
        </is>
      </c>
      <c r="C156" s="27" t="inlineStr">
        <is>
          <t>Касса</t>
        </is>
      </c>
      <c r="D156" s="28" t="inlineStr">
        <is>
          <t>Отчёт кассы</t>
        </is>
      </c>
      <c r="E156" s="29" t="inlineStr">
        <is>
          <t>P2</t>
        </is>
      </c>
      <c r="F156" s="29" t="inlineStr">
        <is>
          <t>Functional</t>
        </is>
      </c>
      <c r="G156" s="27" t="inlineStr">
        <is>
          <t>Вход в админку под тестовым аккаунтом (полные права)</t>
        </is>
      </c>
      <c r="H156" s="27" t="inlineStr">
        <is>
          <t>1. Cashier report: период, склад → «Filter»
2. «Download»</t>
        </is>
      </c>
      <c r="I156" s="27" t="inlineStr"/>
      <c r="J156" s="27" t="inlineStr">
        <is>
          <t>Приход по способам оплаты, ожидающие/завершённые, операции кошелька, продажи и возвраты по складам; «Information» объясняет расчёт</t>
        </is>
      </c>
      <c r="K156" s="27" t="inlineStr"/>
      <c r="L156" s="29" t="inlineStr">
        <is>
          <t>Частично</t>
        </is>
      </c>
      <c r="M156" s="27" t="inlineStr"/>
      <c r="N156" s="29" t="inlineStr">
        <is>
          <t>Не автоматизирован</t>
        </is>
      </c>
      <c r="O156" s="27" t="inlineStr"/>
      <c r="P156" s="29" t="inlineStr">
        <is>
          <t>Не выполнен</t>
        </is>
      </c>
      <c r="Q156" s="27" t="inlineStr"/>
    </row>
    <row r="157" ht="62" customHeight="1">
      <c r="A157" s="30" t="inlineStr">
        <is>
          <t>E2E-001</t>
        </is>
      </c>
      <c r="B157" s="31" t="inlineStr">
        <is>
          <t>Сквозные сценарии админка ↔ витрина</t>
        </is>
      </c>
      <c r="C157" s="31" t="inlineStr">
        <is>
          <t>Заказ</t>
        </is>
      </c>
      <c r="D157" s="32" t="inlineStr">
        <is>
          <t>Полный цикл заказа мастера</t>
        </is>
      </c>
      <c r="E157" s="33" t="inlineStr">
        <is>
          <t>P1</t>
        </is>
      </c>
      <c r="F157" s="33" t="inlineStr">
        <is>
          <t>Integration</t>
        </is>
      </c>
      <c r="G157" s="31" t="inlineStr">
        <is>
          <t>Мастер на витрине, админ в админке</t>
        </is>
      </c>
      <c r="H157" s="31" t="inlineStr">
        <is>
          <t>1. Мастер оформляет заказ (наличные, офис)
2. Админ: Send → Received → Completed, оплата «Оплачено»
3. Мастер проверяет «Мои заказы» и «Баллы»</t>
        </is>
      </c>
      <c r="I157" s="31" t="inlineStr"/>
      <c r="J157" s="31" t="inlineStr">
        <is>
          <t>Статусы синхронны; после выполнения — «Доставлен», «Оплачено», +1% баллов; остаток списан</t>
        </is>
      </c>
      <c r="K157" s="31" t="inlineStr"/>
      <c r="L157" s="33" t="inlineStr">
        <is>
          <t>Да</t>
        </is>
      </c>
      <c r="M157" s="31" t="inlineStr"/>
      <c r="N157" s="33" t="inlineStr">
        <is>
          <t>Не автоматизирован</t>
        </is>
      </c>
      <c r="O157" s="31" t="inlineStr"/>
      <c r="P157" s="33" t="inlineStr">
        <is>
          <t>Не выполнен</t>
        </is>
      </c>
      <c r="Q157" s="31" t="inlineStr"/>
    </row>
    <row r="158" ht="48" customHeight="1">
      <c r="A158" s="30" t="inlineStr">
        <is>
          <t>E2E-002</t>
        </is>
      </c>
      <c r="B158" s="31" t="inlineStr">
        <is>
          <t>Сквозные сценарии админка ↔ витрина</t>
        </is>
      </c>
      <c r="C158" s="31" t="inlineStr">
        <is>
          <t>Долг</t>
        </is>
      </c>
      <c r="D158" s="32" t="inlineStr">
        <is>
          <t>Полный цикл заказа в долг</t>
        </is>
      </c>
      <c r="E158" s="33" t="inlineStr">
        <is>
          <t>P1</t>
        </is>
      </c>
      <c r="F158" s="33" t="inlineStr">
        <is>
          <t>Integration</t>
        </is>
      </c>
      <c r="G158" s="31" t="inlineStr">
        <is>
          <t>Админ открыл мастеру лимит</t>
        </is>
      </c>
      <c r="H158" s="31" t="inlineStr">
        <is>
          <t>1. Заказ с Hamyon (N дней)
2. Админ: Completed
3. Pay Debt — погасить</t>
        </is>
      </c>
      <c r="I158" s="31" t="inlineStr"/>
      <c r="J158" s="31" t="inlineStr">
        <is>
          <t>Срок = дата выполнения + N дней 17:00; долг в «Мой кошелёк»; после погашения «Оплачен»</t>
        </is>
      </c>
      <c r="K158" s="31" t="inlineStr"/>
      <c r="L158" s="33" t="inlineStr">
        <is>
          <t>Да</t>
        </is>
      </c>
      <c r="M158" s="31" t="inlineStr"/>
      <c r="N158" s="33" t="inlineStr">
        <is>
          <t>Не автоматизирован</t>
        </is>
      </c>
      <c r="O158" s="31" t="inlineStr"/>
      <c r="P158" s="33" t="inlineStr">
        <is>
          <t>Не выполнен</t>
        </is>
      </c>
      <c r="Q158" s="31" t="inlineStr"/>
    </row>
    <row r="159" ht="48" customHeight="1">
      <c r="A159" s="30" t="inlineStr">
        <is>
          <t>E2E-003</t>
        </is>
      </c>
      <c r="B159" s="31" t="inlineStr">
        <is>
          <t>Сквозные сценарии админка ↔ витрина</t>
        </is>
      </c>
      <c r="C159" s="31" t="inlineStr">
        <is>
          <t>Цены</t>
        </is>
      </c>
      <c r="D159" s="32" t="inlineStr">
        <is>
          <t>Новая цена и акция видны на витрине</t>
        </is>
      </c>
      <c r="E159" s="33" t="inlineStr">
        <is>
          <t>P1</t>
        </is>
      </c>
      <c r="F159" s="33" t="inlineStr">
        <is>
          <t>Integration</t>
        </is>
      </c>
      <c r="G159" s="31" t="inlineStr">
        <is>
          <t>Вход в админку под тестовым аккаунтом (полные права)</t>
        </is>
      </c>
      <c r="H159" s="31" t="inlineStr">
        <is>
          <t>1. Провести Install prices
2. Создать активную акцию
3. Проверить витрину под клиентом и мастером</t>
        </is>
      </c>
      <c r="I159" s="31" t="inlineStr"/>
      <c r="J159" s="31" t="inlineStr">
        <is>
          <t>Каждая роль видит свою цену и скидку</t>
        </is>
      </c>
      <c r="K159" s="31" t="inlineStr"/>
      <c r="L159" s="33" t="inlineStr">
        <is>
          <t>Да</t>
        </is>
      </c>
      <c r="M159" s="31" t="inlineStr"/>
      <c r="N159" s="33" t="inlineStr">
        <is>
          <t>Не автоматизирован</t>
        </is>
      </c>
      <c r="O159" s="31" t="inlineStr"/>
      <c r="P159" s="33" t="inlineStr">
        <is>
          <t>Не выполнен</t>
        </is>
      </c>
      <c r="Q159" s="31" t="inlineStr"/>
    </row>
    <row r="160" ht="34" customHeight="1">
      <c r="A160" s="30" t="inlineStr">
        <is>
          <t>E2E-004</t>
        </is>
      </c>
      <c r="B160" s="31" t="inlineStr">
        <is>
          <t>Сквозные сценарии админка ↔ витрина</t>
        </is>
      </c>
      <c r="C160" s="31" t="inlineStr">
        <is>
          <t>Остатки</t>
        </is>
      </c>
      <c r="D160" s="32" t="inlineStr">
        <is>
          <t>Приход → наличие на витрине</t>
        </is>
      </c>
      <c r="E160" s="33" t="inlineStr">
        <is>
          <t>P1</t>
        </is>
      </c>
      <c r="F160" s="33" t="inlineStr">
        <is>
          <t>Integration</t>
        </is>
      </c>
      <c r="G160" s="31" t="inlineStr">
        <is>
          <t>Вариант с нулевым остатком</t>
        </is>
      </c>
      <c r="H160" s="31" t="inlineStr">
        <is>
          <t>1. Провести приход
2. Открыть товар на витрине</t>
        </is>
      </c>
      <c r="I160" s="31" t="inlineStr"/>
      <c r="J160" s="31" t="inlineStr">
        <is>
          <t>Товар в наличии, кнопка покупки доступна; запрос «Would buy» закрыт</t>
        </is>
      </c>
      <c r="K160" s="31" t="inlineStr"/>
      <c r="L160" s="33" t="inlineStr">
        <is>
          <t>Да</t>
        </is>
      </c>
      <c r="M160" s="31" t="inlineStr"/>
      <c r="N160" s="33" t="inlineStr">
        <is>
          <t>Не автоматизирован</t>
        </is>
      </c>
      <c r="O160" s="31" t="inlineStr"/>
      <c r="P160" s="33" t="inlineStr">
        <is>
          <t>Не выполнен</t>
        </is>
      </c>
      <c r="Q160" s="31" t="inlineStr"/>
    </row>
    <row r="161" ht="48" customHeight="1">
      <c r="A161" s="30" t="inlineStr">
        <is>
          <t>E2E-005</t>
        </is>
      </c>
      <c r="B161" s="31" t="inlineStr">
        <is>
          <t>Сквозные сценарии админка ↔ витрина</t>
        </is>
      </c>
      <c r="C161" s="31" t="inlineStr">
        <is>
          <t>Спецзаказ</t>
        </is>
      </c>
      <c r="D161" s="32" t="inlineStr">
        <is>
          <t>Окно продаж → спецзаказ мастера → заказ</t>
        </is>
      </c>
      <c r="E161" s="33" t="inlineStr">
        <is>
          <t>P1</t>
        </is>
      </c>
      <c r="F161" s="33" t="inlineStr">
        <is>
          <t>Integration</t>
        </is>
      </c>
      <c r="G161" s="31" t="inlineStr">
        <is>
          <t>Вход в админку под тестовым аккаунтом (полные права)</t>
        </is>
      </c>
      <c r="H161" s="31" t="inlineStr">
        <is>
          <t>1. Админ отправляет документ мастеру
2. Мастер подтверждает
3. Админ ведёт заказ</t>
        </is>
      </c>
      <c r="I161" s="31" t="inlineStr"/>
      <c r="J161" s="31" t="inlineStr">
        <is>
          <t>Уведомление, документ в «Новинка», после подтверждения — заказ в обеих системах</t>
        </is>
      </c>
      <c r="K161" s="31" t="inlineStr"/>
      <c r="L161" s="33" t="inlineStr">
        <is>
          <t>Да</t>
        </is>
      </c>
      <c r="M161" s="31" t="inlineStr"/>
      <c r="N161" s="33" t="inlineStr">
        <is>
          <t>Не автоматизирован</t>
        </is>
      </c>
      <c r="O161" s="31" t="inlineStr"/>
      <c r="P161" s="33" t="inlineStr">
        <is>
          <t>Не выполнен</t>
        </is>
      </c>
      <c r="Q161" s="31" t="inlineStr"/>
    </row>
    <row r="162" ht="34" customHeight="1">
      <c r="A162" s="30" t="inlineStr">
        <is>
          <t>E2E-006</t>
        </is>
      </c>
      <c r="B162" s="31" t="inlineStr">
        <is>
          <t>Сквозные сценарии админка ↔ витрина</t>
        </is>
      </c>
      <c r="C162" s="31" t="inlineStr">
        <is>
          <t>Возврат</t>
        </is>
      </c>
      <c r="D162" s="32" t="inlineStr">
        <is>
          <t>Возврат по заказу мастера</t>
        </is>
      </c>
      <c r="E162" s="33" t="inlineStr">
        <is>
          <t>P2</t>
        </is>
      </c>
      <c r="F162" s="33" t="inlineStr">
        <is>
          <t>Integration</t>
        </is>
      </c>
      <c r="G162" s="31" t="inlineStr">
        <is>
          <t>Выполненный заказ мастера</t>
        </is>
      </c>
      <c r="H162" s="31" t="inlineStr">
        <is>
          <t>1. Админ оформляет возврат на кошелёк</t>
        </is>
      </c>
      <c r="I162" s="31" t="inlineStr"/>
      <c r="J162" s="31" t="inlineStr">
        <is>
          <t>Мастер видит возврат, транзакцию кошелька и списанные баллы</t>
        </is>
      </c>
      <c r="K162" s="31" t="inlineStr"/>
      <c r="L162" s="33" t="inlineStr">
        <is>
          <t>Да</t>
        </is>
      </c>
      <c r="M162" s="31" t="inlineStr"/>
      <c r="N162" s="33" t="inlineStr">
        <is>
          <t>Не автоматизирован</t>
        </is>
      </c>
      <c r="O162" s="31" t="inlineStr"/>
      <c r="P162" s="33" t="inlineStr">
        <is>
          <t>Не выполнен</t>
        </is>
      </c>
      <c r="Q162" s="31" t="inlineStr"/>
    </row>
    <row r="163" ht="48" customHeight="1">
      <c r="A163" s="26" t="inlineStr">
        <is>
          <t>GEN-001</t>
        </is>
      </c>
      <c r="B163" s="27" t="inlineStr">
        <is>
          <t>Общие проверки интерфейса</t>
        </is>
      </c>
      <c r="C163" s="27" t="inlineStr">
        <is>
          <t>Таблицы</t>
        </is>
      </c>
      <c r="D163" s="28" t="inlineStr">
        <is>
          <t>Пагинация, размер страницы, поиск</t>
        </is>
      </c>
      <c r="E163" s="29" t="inlineStr">
        <is>
          <t>P2</t>
        </is>
      </c>
      <c r="F163" s="29" t="inlineStr">
        <is>
          <t>Functional</t>
        </is>
      </c>
      <c r="G163" s="27" t="inlineStr">
        <is>
          <t>Вход в админку под тестовым аккаунтом (полные права)</t>
        </is>
      </c>
      <c r="H163" s="27" t="inlineStr">
        <is>
          <t>1. На 3–4 списках сменить страницу и размер (10/20/50/100)
2. Поиск в шапке</t>
        </is>
      </c>
      <c r="I163" s="27" t="inlineStr"/>
      <c r="J163" s="27" t="inlineStr">
        <is>
          <t>Переключение работает, фильтры сохраняются</t>
        </is>
      </c>
      <c r="K163" s="27" t="inlineStr"/>
      <c r="L163" s="29" t="inlineStr">
        <is>
          <t>Да</t>
        </is>
      </c>
      <c r="M163" s="27" t="inlineStr"/>
      <c r="N163" s="29" t="inlineStr">
        <is>
          <t>Не автоматизирован</t>
        </is>
      </c>
      <c r="O163" s="27" t="inlineStr"/>
      <c r="P163" s="29" t="inlineStr">
        <is>
          <t>Не выполнен</t>
        </is>
      </c>
      <c r="Q163" s="27" t="inlineStr"/>
    </row>
    <row r="164" ht="34" customHeight="1">
      <c r="A164" s="26" t="inlineStr">
        <is>
          <t>GEN-002</t>
        </is>
      </c>
      <c r="B164" s="27" t="inlineStr">
        <is>
          <t>Общие проверки интерфейса</t>
        </is>
      </c>
      <c r="C164" s="27" t="inlineStr">
        <is>
          <t>Excel</t>
        </is>
      </c>
      <c r="D164" s="28" t="inlineStr">
        <is>
          <t>Выгрузка Excel = данным таблицы</t>
        </is>
      </c>
      <c r="E164" s="29" t="inlineStr">
        <is>
          <t>P2</t>
        </is>
      </c>
      <c r="F164" s="29" t="inlineStr">
        <is>
          <t>Functional</t>
        </is>
      </c>
      <c r="G164" s="27" t="inlineStr">
        <is>
          <t>Вход в админку под тестовым аккаунтом (полные права)</t>
        </is>
      </c>
      <c r="H164" s="27" t="inlineStr">
        <is>
          <t>1. «Download» в Users, Debt limit, Debtors, Would buy</t>
        </is>
      </c>
      <c r="I164" s="27" t="inlineStr"/>
      <c r="J164" s="27" t="inlineStr">
        <is>
          <t>Строки и колонки файла совпадают с отфильтрованной таблицей</t>
        </is>
      </c>
      <c r="K164" s="27" t="inlineStr"/>
      <c r="L164" s="29" t="inlineStr">
        <is>
          <t>Да</t>
        </is>
      </c>
      <c r="M164" s="27" t="inlineStr"/>
      <c r="N164" s="29" t="inlineStr">
        <is>
          <t>Не автоматизирован</t>
        </is>
      </c>
      <c r="O164" s="27" t="inlineStr"/>
      <c r="P164" s="29" t="inlineStr">
        <is>
          <t>Не выполнен</t>
        </is>
      </c>
      <c r="Q164" s="27" t="inlineStr"/>
    </row>
    <row r="165" ht="34" customHeight="1">
      <c r="A165" s="26" t="inlineStr">
        <is>
          <t>GEN-003</t>
        </is>
      </c>
      <c r="B165" s="27" t="inlineStr">
        <is>
          <t>Общие проверки интерфейса</t>
        </is>
      </c>
      <c r="C165" s="27" t="inlineStr">
        <is>
          <t>Интерфейс</t>
        </is>
      </c>
      <c r="D165" s="28" t="inlineStr">
        <is>
          <t>Сворачивание меню и навигация</t>
        </is>
      </c>
      <c r="E165" s="29" t="inlineStr">
        <is>
          <t>P3</t>
        </is>
      </c>
      <c r="F165" s="29" t="inlineStr">
        <is>
          <t>UI</t>
        </is>
      </c>
      <c r="G165" s="27" t="inlineStr">
        <is>
          <t>Вход в админку под тестовым аккаунтом (полные права)</t>
        </is>
      </c>
      <c r="H165" s="27" t="inlineStr">
        <is>
          <t>1. Свернуть/развернуть меню
2. Пройти все пункты</t>
        </is>
      </c>
      <c r="I165" s="27" t="inlineStr"/>
      <c r="J165" s="27" t="inlineStr">
        <is>
          <t>Все 57 страниц открываются без ошибок; активный пункт подсвечен</t>
        </is>
      </c>
      <c r="K165" s="27" t="inlineStr"/>
      <c r="L165" s="29" t="inlineStr">
        <is>
          <t>Да</t>
        </is>
      </c>
      <c r="M165" s="27" t="inlineStr"/>
      <c r="N165" s="29" t="inlineStr">
        <is>
          <t>Не автоматизирован</t>
        </is>
      </c>
      <c r="O165" s="27" t="inlineStr"/>
      <c r="P165" s="29" t="inlineStr">
        <is>
          <t>Не выполнен</t>
        </is>
      </c>
      <c r="Q165" s="27" t="inlineStr"/>
    </row>
    <row r="166" ht="34" customHeight="1">
      <c r="A166" s="26" t="inlineStr">
        <is>
          <t>GEN-004</t>
        </is>
      </c>
      <c r="B166" s="27" t="inlineStr">
        <is>
          <t>Общие проверки интерфейса</t>
        </is>
      </c>
      <c r="C166" s="27" t="inlineStr">
        <is>
          <t>Стабильность</t>
        </is>
      </c>
      <c r="D166" s="28" t="inlineStr">
        <is>
          <t>Нет ошибок консоли и 5xx</t>
        </is>
      </c>
      <c r="E166" s="29" t="inlineStr">
        <is>
          <t>P2</t>
        </is>
      </c>
      <c r="F166" s="29" t="inlineStr">
        <is>
          <t>Technical</t>
        </is>
      </c>
      <c r="G166" s="27" t="inlineStr">
        <is>
          <t>Вход в админку под тестовым аккаунтом (полные права)</t>
        </is>
      </c>
      <c r="H166" s="27" t="inlineStr">
        <is>
          <t>1. Пройти все разделы</t>
        </is>
      </c>
      <c r="I166" s="27" t="inlineStr"/>
      <c r="J166" s="27" t="inlineStr">
        <is>
          <t>Нет JS-ошибок и ответов 5xx</t>
        </is>
      </c>
      <c r="K166" s="27" t="inlineStr"/>
      <c r="L166" s="29" t="inlineStr">
        <is>
          <t>Да</t>
        </is>
      </c>
      <c r="M166" s="27" t="inlineStr"/>
      <c r="N166" s="29" t="inlineStr">
        <is>
          <t>Не автоматизирован</t>
        </is>
      </c>
      <c r="O166" s="27" t="inlineStr"/>
      <c r="P166" s="29" t="inlineStr">
        <is>
          <t>Не выполнен</t>
        </is>
      </c>
      <c r="Q166" s="27" t="inlineStr"/>
    </row>
    <row r="167" ht="34" customHeight="1">
      <c r="A167" s="26" t="inlineStr">
        <is>
          <t>GEN-005</t>
        </is>
      </c>
      <c r="B167" s="27" t="inlineStr">
        <is>
          <t>Общие проверки интерфейса</t>
        </is>
      </c>
      <c r="C167" s="27" t="inlineStr">
        <is>
          <t>Локализация</t>
        </is>
      </c>
      <c r="D167" s="28" t="inlineStr">
        <is>
          <t>Переключение языка</t>
        </is>
      </c>
      <c r="E167" s="29" t="inlineStr">
        <is>
          <t>P3</t>
        </is>
      </c>
      <c r="F167" s="29" t="inlineStr">
        <is>
          <t>UI</t>
        </is>
      </c>
      <c r="G167" s="27" t="inlineStr">
        <is>
          <t>Вход в админку под тестовым аккаунтом (полные права)</t>
        </is>
      </c>
      <c r="H167" s="27" t="inlineStr">
        <is>
          <t>1. Сменить язык</t>
        </is>
      </c>
      <c r="I167" s="27" t="inlineStr"/>
      <c r="J167" s="27" t="inlineStr">
        <is>
          <t>Интерфейс переключается; нет «сырых» значений (free/blocked) и смеси языков</t>
        </is>
      </c>
      <c r="K167" s="27" t="inlineStr"/>
      <c r="L167" s="29" t="inlineStr">
        <is>
          <t>Да</t>
        </is>
      </c>
      <c r="M167" s="27" t="inlineStr"/>
      <c r="N167" s="29" t="inlineStr">
        <is>
          <t>Не автоматизирован</t>
        </is>
      </c>
      <c r="O167" s="27" t="inlineStr"/>
      <c r="P167" s="29" t="inlineStr">
        <is>
          <t>Не выполнен</t>
        </is>
      </c>
      <c r="Q167" s="27" t="inlineStr"/>
    </row>
  </sheetData>
  <autoFilter ref="A1:Q167"/>
  <conditionalFormatting sqref="E2:E167">
    <cfRule type="expression" priority="1" dxfId="2">
      <formula>$E2="P1"</formula>
    </cfRule>
    <cfRule type="expression" priority="2" dxfId="3">
      <formula>$E2="P2"</formula>
    </cfRule>
    <cfRule type="expression" priority="3" dxfId="4">
      <formula>$E2="P3"</formula>
    </cfRule>
  </conditionalFormatting>
  <conditionalFormatting sqref="L2:L167">
    <cfRule type="expression" priority="4" dxfId="5">
      <formula>$L2="Да"</formula>
    </cfRule>
    <cfRule type="expression" priority="5" dxfId="6">
      <formula>$L2="Частично"</formula>
    </cfRule>
    <cfRule type="expression" priority="6" dxfId="2">
      <formula>$L2="Нет"</formula>
    </cfRule>
  </conditionalFormatting>
  <conditionalFormatting sqref="N2:N167">
    <cfRule type="expression" priority="7" dxfId="7">
      <formula>$N2="Автоматизирован"</formula>
    </cfRule>
    <cfRule type="expression" priority="8" dxfId="8">
      <formula>$N2="Частично"</formula>
    </cfRule>
    <cfRule type="expression" priority="9" dxfId="9">
      <formula>$N2="Не автоматизирован"</formula>
    </cfRule>
  </conditionalFormatting>
  <conditionalFormatting sqref="P2:P167">
    <cfRule type="expression" priority="10" dxfId="7">
      <formula>$P2="Passed"</formula>
    </cfRule>
    <cfRule type="expression" priority="11" dxfId="1">
      <formula>$P2="Failed"</formula>
    </cfRule>
    <cfRule type="expression" priority="12" dxfId="10">
      <formula>$P2="Blocked"</formula>
    </cfRule>
    <cfRule type="expression" priority="13" dxfId="4">
      <formula>$P2="Skipped"</formula>
    </cfRule>
  </conditionalFormatting>
  <dataValidations count="4">
    <dataValidation sqref="E2:E167" showDropDown="0" showInputMessage="0" showErrorMessage="0" allowBlank="1" type="list">
      <formula1>"P1,P2,P3"</formula1>
    </dataValidation>
    <dataValidation sqref="L2:L167" showDropDown="0" showInputMessage="0" showErrorMessage="0" allowBlank="1" type="list">
      <formula1>"Да,Частично,Нет"</formula1>
    </dataValidation>
    <dataValidation sqref="N2:N167" showDropDown="0" showInputMessage="0" showErrorMessage="0" allowBlank="1" type="list">
      <formula1>"Автоматизирован,Частично,Не автоматизирован"</formula1>
    </dataValidation>
    <dataValidation sqref="P2:P167" showDropDown="0" showInputMessage="0" showErrorMessage="0" allowBlank="1" type="list">
      <formula1>"Не выполнен,Passed,Failed,Blocked,Skipped"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36" customWidth="1" min="4" max="4"/>
    <col width="12" customWidth="1" min="5" max="5"/>
    <col width="40" customWidth="1" min="6" max="6"/>
    <col width="14" customWidth="1" min="7" max="7"/>
  </cols>
  <sheetData>
    <row r="1">
      <c r="A1" s="9" t="inlineStr">
        <is>
          <t>№</t>
        </is>
      </c>
      <c r="B1" s="9" t="inlineStr">
        <is>
          <t>Категория</t>
        </is>
      </c>
      <c r="C1" s="9" t="inlineStr">
        <is>
          <t>Описание</t>
        </is>
      </c>
      <c r="D1" s="9" t="inlineStr">
        <is>
          <t>Где</t>
        </is>
      </c>
      <c r="E1" s="9" t="inlineStr">
        <is>
          <t>Серьёзность</t>
        </is>
      </c>
      <c r="F1" s="9" t="inlineStr">
        <is>
          <t>Комментарий</t>
        </is>
      </c>
      <c r="G1" s="9" t="inlineStr">
        <is>
          <t>Статус</t>
        </is>
      </c>
    </row>
    <row r="2" ht="30" customHeight="1">
      <c r="A2" s="33" t="n">
        <v>1</v>
      </c>
      <c r="B2" s="31" t="inlineStr">
        <is>
          <t>Данные</t>
        </is>
      </c>
      <c r="C2" s="31" t="inlineStr">
        <is>
          <t>В «Debt limit» у клиентов B2C есть лимит (B2C, 300 000 000)</t>
        </is>
      </c>
      <c r="D2" s="31" t="inlineStr">
        <is>
          <t>/debt/debt-limit</t>
        </is>
      </c>
      <c r="E2" s="33" t="inlineStr">
        <is>
          <t>Medium</t>
        </is>
      </c>
      <c r="F2" s="31" t="inlineStr">
        <is>
          <t>PRD Mijoz rollari §6.7: лимит ставится даже обычному клиенту — подтвердить</t>
        </is>
      </c>
      <c r="G2" s="33" t="inlineStr">
        <is>
          <t>Новое</t>
        </is>
      </c>
    </row>
    <row r="3" ht="30" customHeight="1">
      <c r="A3" s="33" t="n">
        <v>2</v>
      </c>
      <c r="B3" s="31" t="inlineStr">
        <is>
          <t>Логика</t>
        </is>
      </c>
      <c r="C3" s="31" t="inlineStr">
        <is>
          <t>Заблокированный кошелёк не мешает оплате Hamyon</t>
        </is>
      </c>
      <c r="D3" s="31" t="inlineStr">
        <is>
          <t>Checkout / Debt limit</t>
        </is>
      </c>
      <c r="E3" s="33" t="inlineStr">
        <is>
          <t>High</t>
        </is>
      </c>
      <c r="F3" s="31" t="inlineStr">
        <is>
          <t>Из проверки кода в PRD Debt Limit — проверить на staging</t>
        </is>
      </c>
      <c r="G3" s="33" t="inlineStr">
        <is>
          <t>Новое</t>
        </is>
      </c>
    </row>
    <row r="4" ht="30" customHeight="1">
      <c r="A4" s="33" t="n">
        <v>3</v>
      </c>
      <c r="B4" s="31" t="inlineStr">
        <is>
          <t>Локализация</t>
        </is>
      </c>
      <c r="C4" s="31" t="inlineStr">
        <is>
          <t>Статус кошелька показан как «free» / «blocked»</t>
        </is>
      </c>
      <c r="D4" s="31" t="inlineStr">
        <is>
          <t>Wallet transactions, Wallet</t>
        </is>
      </c>
      <c r="E4" s="33" t="inlineStr">
        <is>
          <t>Low</t>
        </is>
      </c>
      <c r="F4" s="31" t="inlineStr">
        <is>
          <t>PRD Wallet (проверка кода)</t>
        </is>
      </c>
      <c r="G4" s="33" t="inlineStr">
        <is>
          <t>Новое</t>
        </is>
      </c>
    </row>
    <row r="5" ht="30" customHeight="1">
      <c r="A5" s="33" t="n">
        <v>4</v>
      </c>
      <c r="B5" s="31" t="inlineStr">
        <is>
          <t>Локализация</t>
        </is>
      </c>
      <c r="C5" s="31" t="inlineStr">
        <is>
          <t>Названия складов на разных языках (например «Урикзор Магазин №43»)</t>
        </is>
      </c>
      <c r="D5" s="31" t="inlineStr">
        <is>
          <t>Dashboard, Season, Cashier report</t>
        </is>
      </c>
      <c r="E5" s="33" t="inlineStr">
        <is>
          <t>Low</t>
        </is>
      </c>
      <c r="F5" s="31" t="inlineStr"/>
      <c r="G5" s="33" t="inlineStr">
        <is>
          <t>Новое</t>
        </is>
      </c>
    </row>
    <row r="6" ht="30" customHeight="1">
      <c r="A6" s="33" t="n">
        <v>5</v>
      </c>
      <c r="B6" s="31" t="inlineStr">
        <is>
          <t>Данные</t>
        </is>
      </c>
      <c r="C6" s="31" t="inlineStr">
        <is>
          <t>У отменённого заказа #518191 причина отмены «abc»</t>
        </is>
      </c>
      <c r="D6" s="31" t="inlineStr">
        <is>
          <t>/orders/518191</t>
        </is>
      </c>
      <c r="E6" s="33" t="inlineStr">
        <is>
          <t>Info</t>
        </is>
      </c>
      <c r="F6" s="31" t="inlineStr">
        <is>
          <t>Проверить, откуда берётся текст</t>
        </is>
      </c>
      <c r="G6" s="33" t="inlineStr">
        <is>
          <t>Новое</t>
        </is>
      </c>
    </row>
    <row r="7"/>
    <row r="8">
      <c r="B8" s="34" t="inlineStr">
        <is>
          <t>Замечания найдены при исследовании staging 28.10.2026 под аккаунтом мастера. Перед заведением бага — перепроверить.</t>
        </is>
      </c>
    </row>
  </sheetData>
  <autoFilter ref="A1:G6"/>
  <conditionalFormatting sqref="E2:E6">
    <cfRule type="expression" priority="1" dxfId="3">
      <formula>$E2="Medium"</formula>
    </cfRule>
    <cfRule type="expression" priority="2" dxfId="6">
      <formula>$E2="Low"</formula>
    </cfRule>
    <cfRule type="expression" priority="3" dxfId="11">
      <formula>$E2="Info"</formula>
    </cfRule>
  </conditionalFormatting>
  <dataValidations count="1">
    <dataValidation sqref="G2:G6" showDropDown="0" showInputMessage="0" showErrorMessage="0" allowBlank="1" type="list">
      <formula1>"Новое,Заведён баг,Не баг,Исправлено"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70" customWidth="1" min="3" max="3"/>
  </cols>
  <sheetData>
    <row r="1">
      <c r="A1" s="9" t="inlineStr">
        <is>
          <t>PRD / страница</t>
        </is>
      </c>
      <c r="B1" s="9" t="inlineStr">
        <is>
          <t>О чём</t>
        </is>
      </c>
      <c r="C1" s="9" t="inlineStr">
        <is>
          <t>Ссылка</t>
        </is>
      </c>
    </row>
    <row r="2">
      <c r="A2" s="31" t="inlineStr">
        <is>
          <t>Папка логики админки (Confluence)</t>
        </is>
      </c>
      <c r="B2" s="31" t="inlineStr">
        <is>
          <t>Разделы 1–15</t>
        </is>
      </c>
      <c r="C2" s="35" t="inlineStr">
        <is>
          <t>https://arositdepartment.atlassian.net/wiki/spaces/~ArosMarket/folder/354385922</t>
        </is>
      </c>
    </row>
    <row r="3">
      <c r="A3" s="31" t="inlineStr">
        <is>
          <t>Admin Order List and Order Detail</t>
        </is>
      </c>
      <c r="B3" s="31" t="inlineStr">
        <is>
          <t>Заказы</t>
        </is>
      </c>
      <c r="C3" s="35" t="inlineStr">
        <is>
          <t>https://arositdepartment.atlassian.net/wiki/spaces/~ArosMarket/pages/333774849</t>
        </is>
      </c>
    </row>
    <row r="4">
      <c r="A4" s="31" t="inlineStr">
        <is>
          <t>Product Transfer / Transfer permission</t>
        </is>
      </c>
      <c r="B4" s="31" t="inlineStr">
        <is>
          <t>Перемещения</t>
        </is>
      </c>
      <c r="C4" s="35" t="inlineStr">
        <is>
          <t>https://arositdepartment.atlassian.net/wiki/spaces/~ArosMarket/pages/304021505</t>
        </is>
      </c>
    </row>
    <row r="5">
      <c r="A5" s="31" t="inlineStr">
        <is>
          <t>Inventory PRD</t>
        </is>
      </c>
      <c r="B5" s="31" t="inlineStr">
        <is>
          <t>Инвентаризация</t>
        </is>
      </c>
      <c r="C5" s="35" t="inlineStr">
        <is>
          <t>https://arositdepartment.atlassian.net/wiki/spaces/~ArosMarket/pages/305135617</t>
        </is>
      </c>
    </row>
    <row r="6">
      <c r="A6" s="31" t="inlineStr">
        <is>
          <t>Product Income — Excel Import</t>
        </is>
      </c>
      <c r="B6" s="31" t="inlineStr">
        <is>
          <t>Приход, импорт Excel</t>
        </is>
      </c>
      <c r="C6" s="35" t="inlineStr">
        <is>
          <t>https://arositdepartment.atlassian.net/wiki/spaces/~ArosMarket/pages/324861953</t>
        </is>
      </c>
    </row>
    <row r="7">
      <c r="A7" s="31" t="inlineStr">
        <is>
          <t>Kirim — qisman kelish</t>
        </is>
      </c>
      <c r="B7" s="31" t="inlineStr">
        <is>
          <t>Частичная приёмка</t>
        </is>
      </c>
      <c r="C7" s="35" t="inlineStr">
        <is>
          <t>https://arositdepartment.atlassian.net/wiki/spaces/~ArosMarket/pages/376209409</t>
        </is>
      </c>
    </row>
    <row r="8">
      <c r="A8" s="31" t="inlineStr">
        <is>
          <t>Discount US1 / PRD</t>
        </is>
      </c>
      <c r="B8" s="31" t="inlineStr">
        <is>
          <t>Акции</t>
        </is>
      </c>
      <c r="C8" s="35" t="inlineStr">
        <is>
          <t>https://arositdepartment.atlassian.net/wiki/spaces/~ArosMarket/pages/154632194</t>
        </is>
      </c>
    </row>
    <row r="9">
      <c r="A9" s="31" t="inlineStr">
        <is>
          <t>Mijozga xos chegirma ko'rinishi</t>
        </is>
      </c>
      <c r="B9" s="31" t="inlineStr">
        <is>
          <t>Скидки по типу цены</t>
        </is>
      </c>
      <c r="C9" s="35" t="inlineStr">
        <is>
          <t>https://arositdepartment.atlassian.net/wiki/spaces/~ArosMarket/pages/377651202</t>
        </is>
      </c>
    </row>
    <row r="10">
      <c r="A10" s="31" t="inlineStr">
        <is>
          <t>Product &amp; Product Variant</t>
        </is>
      </c>
      <c r="B10" s="31" t="inlineStr">
        <is>
          <t>Товары и варианты</t>
        </is>
      </c>
      <c r="C10" s="35" t="inlineStr">
        <is>
          <t>https://arositdepartment.atlassian.net/wiki/spaces/~ArosMarket/pages/292356097</t>
        </is>
      </c>
    </row>
    <row r="11">
      <c r="A11" s="31" t="inlineStr">
        <is>
          <t>Sales window - PRD</t>
        </is>
      </c>
      <c r="B11" s="31" t="inlineStr">
        <is>
          <t>Окно продаж</t>
        </is>
      </c>
      <c r="C11" s="35" t="inlineStr">
        <is>
          <t>https://arositdepartment.atlassian.net/wiki/spaces/~ArosMarket/pages/307167233</t>
        </is>
      </c>
    </row>
    <row r="12">
      <c r="A12" s="31" t="inlineStr">
        <is>
          <t>Product Return</t>
        </is>
      </c>
      <c r="B12" s="31" t="inlineStr">
        <is>
          <t>Возвраты</t>
        </is>
      </c>
      <c r="C12" s="35" t="inlineStr">
        <is>
          <t>https://arositdepartment.atlassian.net/wiki/spaces/~ArosMarket/pages/298024961</t>
        </is>
      </c>
    </row>
    <row r="13">
      <c r="A13" s="31" t="inlineStr">
        <is>
          <t>Kassa</t>
        </is>
      </c>
      <c r="B13" s="31" t="inlineStr">
        <is>
          <t>Касса</t>
        </is>
      </c>
      <c r="C13" s="35" t="inlineStr">
        <is>
          <t>https://arositdepartment.atlassian.net/wiki/spaces/~ArosMarket/pages/233537537</t>
        </is>
      </c>
    </row>
    <row r="14">
      <c r="A14" s="31" t="inlineStr">
        <is>
          <t>Mijoz rollari — narx turi</t>
        </is>
      </c>
      <c r="B14" s="31" t="inlineStr">
        <is>
          <t>Роли клиентов</t>
        </is>
      </c>
      <c r="C14" s="35" t="inlineStr">
        <is>
          <t>https://arositdepartment.atlassian.net/wiki/spaces/~ArosMarket/pages/351404033</t>
        </is>
      </c>
    </row>
    <row r="15">
      <c r="A15" s="31" t="inlineStr">
        <is>
          <t>Debt Limit (B2B/B2M)</t>
        </is>
      </c>
      <c r="B15" s="31" t="inlineStr">
        <is>
          <t>Лимит долга</t>
        </is>
      </c>
      <c r="C15" s="35" t="inlineStr">
        <is>
          <t>https://arositdepartment.atlassian.net/wiki/spaces/~ArosMarket/pages/305004559</t>
        </is>
      </c>
    </row>
    <row r="16">
      <c r="A16" s="31" t="inlineStr">
        <is>
          <t>Pay Debt</t>
        </is>
      </c>
      <c r="B16" s="31" t="inlineStr">
        <is>
          <t>Погашение долга</t>
        </is>
      </c>
      <c r="C16" s="35" t="inlineStr">
        <is>
          <t>https://arositdepartment.atlassian.net/wiki/spaces/~ArosMarket/pages/292421633</t>
        </is>
      </c>
    </row>
    <row r="17">
      <c r="A17" s="31" t="inlineStr">
        <is>
          <t>Push Notification System</t>
        </is>
      </c>
      <c r="B17" s="31" t="inlineStr">
        <is>
          <t>Push</t>
        </is>
      </c>
      <c r="C17" s="35" t="inlineStr">
        <is>
          <t>https://arositdepartment.atlassian.net/wiki/spaces/~ArosMarket/pages/246349828</t>
        </is>
      </c>
    </row>
    <row r="18">
      <c r="A18" s="31" t="inlineStr">
        <is>
          <t>Roles and Permissions Module</t>
        </is>
      </c>
      <c r="B18" s="31" t="inlineStr">
        <is>
          <t>Права доступа</t>
        </is>
      </c>
      <c r="C18" s="35" t="inlineStr">
        <is>
          <t>https://arositdepartment.atlassian.net/wiki/spaces/~ArosMarket/pages/243597313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2026-10-28T18:47:21Z</dcterms:created>
  <dcterms:modified xsi:type="dcterms:W3CDTF">2026-10-29T14:58:33Z</dcterms:modified>
</cp:coreProperties>
</file>